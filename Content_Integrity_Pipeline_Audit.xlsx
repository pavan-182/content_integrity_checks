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Pipeline Inventory" sheetId="2" state="visible" r:id="rId2"/>
    <sheet xmlns:r="http://schemas.openxmlformats.org/officeDocument/2006/relationships" name="Component Audit" sheetId="3" state="visible" r:id="rId3"/>
    <sheet xmlns:r="http://schemas.openxmlformats.org/officeDocument/2006/relationships" name="Overengineering Log" sheetId="4" state="visible" r:id="rId4"/>
    <sheet xmlns:r="http://schemas.openxmlformats.org/officeDocument/2006/relationships" name="Refactoring Roadmap" sheetId="5" state="visible" r:id="rId5"/>
  </sheets>
  <definedNames>
    <definedName name="_xlnm._FilterDatabase" localSheetId="1" hidden="1">'Pipeline Inventory'!$A$2:$M$12</definedName>
    <definedName name="_xlnm._FilterDatabase" localSheetId="2" hidden="1">'Component Audit'!$A$2:$H$61</definedName>
    <definedName name="_xlnm._FilterDatabase" localSheetId="3" hidden="1">'Overengineering Log'!$A$2:$H$12</definedName>
    <definedName name="_xlnm._FilterDatabase" localSheetId="4" hidden="1">'Refactoring Roadmap'!$A$2:$H$7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\%"/>
  </numFmts>
  <fonts count="8">
    <font>
      <name val="Calibri"/>
      <color theme="1"/>
      <sz val="11"/>
      <scheme val="minor"/>
    </font>
    <font>
      <name val="Arial"/>
      <i val="1"/>
      <color rgb="FF555555"/>
      <sz val="9"/>
    </font>
    <font>
      <name val="Arial"/>
      <b val="1"/>
      <color rgb="FF1F2A44"/>
      <sz val="16"/>
    </font>
    <font>
      <name val="Arial"/>
      <b val="1"/>
      <color rgb="FFFFFFFF"/>
      <sz val="10"/>
    </font>
    <font>
      <name val="Arial"/>
      <i val="1"/>
      <color rgb="FF555555"/>
      <sz val="11"/>
    </font>
    <font>
      <name val="Arial"/>
      <color theme="1"/>
      <sz val="10"/>
    </font>
    <font>
      <name val="Arial"/>
      <b val="1"/>
      <color rgb="FF1F2A44"/>
      <sz val="12"/>
    </font>
    <font>
      <name val="Arial"/>
      <b val="1"/>
      <color rgb="FF1F2A44"/>
      <sz val="10"/>
    </font>
  </fonts>
  <fills count="9">
    <fill>
      <patternFill/>
    </fill>
    <fill>
      <patternFill patternType="lightGray"/>
    </fill>
    <fill>
      <patternFill patternType="solid">
        <fgColor rgb="FF1F2A44"/>
        <bgColor rgb="FF1F2A44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  <fill>
      <patternFill patternType="solid">
        <fgColor rgb="FFFCE4D6"/>
        <bgColor rgb="FFFCE4D6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bottom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/>
    </xf>
    <xf numFmtId="164" fontId="5" fillId="0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 wrapText="1"/>
    </xf>
    <xf numFmtId="164" fontId="5" fillId="3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/>
  </cellStyles>
  <dxfs count="11">
    <dxf>
      <font>
        <name val="Arial"/>
        <b val="1"/>
        <color rgb="FFFFFFFF"/>
        <sz val="10"/>
      </font>
      <fill>
        <patternFill patternType="solid">
          <fgColor rgb="FFC00000"/>
          <bgColor rgb="FFC00000"/>
        </patternFill>
      </fill>
      <border/>
    </dxf>
    <dxf>
      <font>
        <name val="Arial"/>
        <b val="1"/>
        <color rgb="FFFFFFFF"/>
        <sz val="10"/>
      </font>
      <fill>
        <patternFill patternType="solid">
          <fgColor rgb="FFFF0000"/>
          <bgColor rgb="FFFF0000"/>
        </patternFill>
      </fill>
      <border/>
    </dxf>
    <dxf>
      <font>
        <name val="Arial"/>
        <b val="1"/>
        <color rgb="FF000000"/>
        <sz val="10"/>
      </font>
      <fill>
        <patternFill patternType="solid">
          <fgColor rgb="FFFFC000"/>
          <bgColor rgb="FFFFC000"/>
        </patternFill>
      </fill>
      <border/>
    </dxf>
    <dxf>
      <font>
        <name val="Arial"/>
        <b val="1"/>
        <color rgb="FF375623"/>
        <sz val="10"/>
      </font>
      <fill>
        <patternFill patternType="solid">
          <fgColor rgb="FFC6E0B4"/>
          <bgColor rgb="FFC6E0B4"/>
        </patternFill>
      </fill>
      <border/>
    </dxf>
    <dxf>
      <font>
        <name val="Arial"/>
        <b val="1"/>
        <color rgb="FF7F6000"/>
        <sz val="10"/>
      </font>
      <fill>
        <patternFill patternType="solid">
          <fgColor rgb="FFFFE699"/>
          <bgColor rgb="FFFFE699"/>
        </patternFill>
      </fill>
      <border/>
    </dxf>
    <dxf>
      <font>
        <name val="Arial"/>
        <b val="1"/>
        <color rgb="FF833C00"/>
        <sz val="10"/>
      </font>
      <fill>
        <patternFill patternType="solid">
          <fgColor rgb="FFF8CBAD"/>
          <bgColor rgb="FFF8CBAD"/>
        </patternFill>
      </fill>
      <border/>
    </dxf>
    <dxf>
      <font>
        <name val="Arial"/>
        <b val="1"/>
        <color rgb="FF9C0006"/>
        <sz val="10"/>
      </font>
      <fill>
        <patternFill patternType="solid">
          <fgColor rgb="FFFFC7CE"/>
          <bgColor rgb="FFFFC7CE"/>
        </patternFill>
      </fill>
      <border/>
    </dxf>
    <dxf>
      <font>
        <name val="Arial"/>
        <b val="1"/>
        <color rgb="FF9C6500"/>
        <sz val="1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>
        <name val="Arial"/>
        <b val="1"/>
        <color rgb="FF9C0006"/>
      </font>
      <fill>
        <patternFill patternType="solid">
          <fgColor rgb="FFFFC7CE"/>
          <bgColor rgb="FFFFC7CE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808080"/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ColWidth="14.43" defaultRowHeight="15" customHeight="1"/>
  <cols>
    <col width="110" customWidth="1" style="22" min="1" max="1"/>
    <col width="8.710000000000001" customWidth="1" style="22" min="2" max="26"/>
  </cols>
  <sheetData>
    <row r="1">
      <c r="A1" s="2" t="inlineStr">
        <is>
          <t>Content Integrity Pipeline Audit — TNQTech Integrity Central</t>
        </is>
      </c>
    </row>
    <row r="2">
      <c r="A2" s="4" t="inlineStr">
        <is>
          <t>Architectural audit for real-world robustness, scalability, and de-bloating</t>
        </is>
      </c>
    </row>
    <row r="4" ht="13.5" customHeight="1" s="22">
      <c r="A4" s="5" t="n"/>
    </row>
    <row r="5" ht="27.75" customHeight="1" s="22">
      <c r="A5" s="6" t="inlineStr">
        <is>
          <t>SOURCE BASIS AND SCOPE</t>
        </is>
      </c>
    </row>
    <row r="6" ht="45.75" customHeight="1" s="22">
      <c r="A6" s="5" t="inlineStr">
        <is>
          <t>This audit was requested against https://github.com/pavan-182/content_integrity_checks. That repository could not be reached: it returned no result on GitHub search and a direct fetch was refused as an unverified/unindexed URL (consistent with a private, renamed, or not-yet-public repo). No live source code was reviewed to produce this workbook.</t>
        </is>
      </c>
    </row>
    <row r="7" ht="13.5" customHeight="1" s="22">
      <c r="A7" s="5" t="n"/>
    </row>
    <row r="8" ht="45.75" customHeight="1" s="22">
      <c r="A8" s="5" t="inlineStr">
        <is>
          <t>Every finding below is instead grounded in the detailed technical design documentation supplied in this conversation: the Business Problem brief, PRD v1, and the four implementation-level design docs for Template Detection, LLM Response Trace, Tortured Phrase Detection, and the Numerical / Design Contradiction / Unverifiable Clinical Trial checks. Those docs describe real algorithms, thresholds, regex behavior, libraries, and — in one section — an explicit list of doc/code mismatches, so this is a substantive architecture audit, not a guess. Where a row makes an inference beyond what the docs state outright, it is phrased as a recommendation to verify against the actual code, not as a confirmed defect.</t>
        </is>
      </c>
    </row>
    <row r="9" ht="13.5" customHeight="1" s="22">
      <c r="A9" s="5" t="n"/>
    </row>
    <row r="10" ht="45.75" customHeight="1" s="22">
      <c r="A10" s="5" t="inlineStr">
        <is>
          <t>If/when the repository becomes reachable, re-run this audit against the real code — component-level line numbers, actual duplication, and any drift from the documented design will only be visible there. This workbook is the right skeleton to pour that verification into.</t>
        </is>
      </c>
    </row>
    <row r="11" ht="13.5" customHeight="1" s="22">
      <c r="A11" s="5" t="n"/>
    </row>
    <row r="12" ht="27.75" customHeight="1" s="22">
      <c r="A12" s="6" t="inlineStr">
        <is>
          <t>HOW TO USE THIS WORKBOOK</t>
        </is>
      </c>
    </row>
    <row r="13" ht="45.75" customHeight="1" s="22">
      <c r="A13" s="5" t="inlineStr">
        <is>
          <t>1. Pipeline Inventory  — one row per subsystem, with a live Health Index computed from the component audit below it.</t>
        </is>
      </c>
    </row>
    <row r="14" ht="45.75" customHeight="1" s="22">
      <c r="A14" s="5" t="inlineStr">
        <is>
          <t>2. Component Audit     — one row per module/behavior, with a Keep / Enhance / Remove verdict and a concrete action item.</t>
        </is>
      </c>
    </row>
    <row r="15" ht="45.75" customHeight="1" s="22">
      <c r="A15" s="5" t="inlineStr">
        <is>
          <t>3. Overengineering Log — the sharpest, named issues: fragile heuristics, silent failures, dead code, hardcoded edges.</t>
        </is>
      </c>
    </row>
    <row r="16" ht="45.75" customHeight="1" s="22">
      <c r="A16" s="5" t="inlineStr">
        <is>
          <t>4. Refactoring Roadmap — phased execution plan, ordered by trust/correctness risk first, then scale.</t>
        </is>
      </c>
    </row>
    <row r="17" ht="13.5" customHeight="1" s="22">
      <c r="A17" s="5" t="n"/>
    </row>
    <row r="18" ht="45.75" customHeight="1" s="22">
      <c r="A18" s="5" t="inlineStr">
        <is>
          <t>Dropdowns are enabled on Verdict / Viability / Severity / Pattern Type / Effort columns so this can stay a living tracker as work lands.</t>
        </is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1F2A44"/>
    <outlinePr summaryBelow="1" summaryRight="1"/>
    <pageSetUpPr/>
  </sheetPr>
  <dimension ref="A1:M1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4.43" defaultRowHeight="15" customHeight="1"/>
  <cols>
    <col width="8.289999999999999" customWidth="1" style="22" min="1" max="1"/>
    <col width="32.29" customWidth="1" style="22" min="2" max="2"/>
    <col width="53.71" customWidth="1" style="22" min="3" max="3"/>
    <col width="28.29" customWidth="1" style="22" min="4" max="4"/>
    <col width="24" customWidth="1" style="22" min="5" max="5"/>
    <col width="30" customWidth="1" style="22" min="6" max="6"/>
    <col width="16.29" customWidth="1" style="22" min="7" max="7"/>
    <col width="10" customWidth="1" style="22" min="8" max="8"/>
    <col width="11.86" customWidth="1" style="22" min="9" max="9"/>
    <col width="13.43" customWidth="1" style="22" min="10" max="10"/>
    <col width="10" customWidth="1" style="22" min="11" max="11"/>
    <col width="17.57" customWidth="1" style="22" min="12" max="12"/>
    <col width="40" customWidth="1" style="22" min="13" max="13"/>
    <col width="8.710000000000001" customWidth="1" style="22" min="14" max="26"/>
  </cols>
  <sheetData>
    <row r="1" ht="27.75" customHeight="1" s="22">
      <c r="A1" s="1" t="inlineStr">
        <is>
          <t>Pipeline Inventory &amp; Health Index — Health Index and issue counts are LIVE FORMULAS reading the 'Component Audit' and 'Overengineering Log' sheets. Re-triaging a component there updates this sheet automatically.</t>
        </is>
      </c>
    </row>
    <row r="2" ht="39.75" customHeight="1" s="22">
      <c r="A2" s="23" t="inlineStr">
        <is>
          <t>ID</t>
        </is>
      </c>
      <c r="B2" s="23" t="inlineStr">
        <is>
          <t>Pipeline / Subsystem</t>
        </is>
      </c>
      <c r="C2" s="23" t="inlineStr">
        <is>
          <t>Data Flow (Input → Output)</t>
        </is>
      </c>
      <c r="D2" s="23" t="inlineStr">
        <is>
          <t>Entry Point</t>
        </is>
      </c>
      <c r="E2" s="23" t="inlineStr">
        <is>
          <t>Exit Point</t>
        </is>
      </c>
      <c r="F2" s="23" t="inlineStr">
        <is>
          <t>Primary Tech Stack</t>
        </is>
      </c>
      <c r="G2" s="23" t="inlineStr">
        <is>
          <t># Components
Audited</t>
        </is>
      </c>
      <c r="H2" s="23" t="inlineStr">
        <is>
          <t># Keep</t>
        </is>
      </c>
      <c r="I2" s="23" t="inlineStr">
        <is>
          <t># Enhance</t>
        </is>
      </c>
      <c r="J2" s="23" t="inlineStr">
        <is>
          <t># Remove</t>
        </is>
      </c>
      <c r="K2" s="23" t="inlineStr">
        <is>
          <t>Health Index %</t>
        </is>
      </c>
      <c r="L2" s="23" t="inlineStr">
        <is>
          <t>High/Critical
Issues Open</t>
        </is>
      </c>
      <c r="M2" s="23" t="inlineStr">
        <is>
          <t>Current Architectural Bottleneck</t>
        </is>
      </c>
    </row>
    <row r="3">
      <c r="A3" s="8" t="inlineStr">
        <is>
          <t>P1</t>
        </is>
      </c>
      <c r="B3" s="8" t="inlineStr">
        <is>
          <t>XML Ingestion &amp; Record Parsing</t>
        </is>
      </c>
      <c r="C3" s="24" t="inlineStr">
        <is>
          <t>Raw submission XML → ParsedRecord objects (id, title, abstract, sections, authors, affiliations, trial IDs)</t>
        </is>
      </c>
      <c r="D3" s="24" t="inlineStr">
        <is>
          <t>Batch of ~6,000 ASCO XML abstracts</t>
        </is>
      </c>
      <c r="E3" s="24" t="inlineStr">
        <is>
          <t>ParsedRecord list consumed by every detector</t>
        </is>
      </c>
      <c r="F3" s="24" t="inlineStr">
        <is>
          <t>lxml; Python re</t>
        </is>
      </c>
      <c r="G3" s="12">
        <f>COUNTIF('Component Audit'!$A:$A,$B3)</f>
        <v/>
      </c>
      <c r="H3" s="12">
        <f>COUNTIFS('Component Audit'!$A:$A,$B3,'Component Audit'!$E:$E,"Keep")</f>
        <v/>
      </c>
      <c r="I3" s="12">
        <f>COUNTIFS('Component Audit'!$A:$A,$B3,'Component Audit'!$E:$E,"Enhance")</f>
        <v/>
      </c>
      <c r="J3" s="12">
        <f>COUNTIFS('Component Audit'!$A:$A,$B3,'Component Audit'!$E:$E,"Remove")</f>
        <v/>
      </c>
      <c r="K3" s="13">
        <f>IFERROR(ROUND((H3*1+I3*0.5)/G3*100,0),"N/A")</f>
        <v/>
      </c>
      <c r="L3" s="12">
        <f>COUNTIFS('Overengineering Log'!$B:$B,"*"&amp;$B3&amp;"*",'Overengineering Log'!$F:$F,"Critical")+COUNTIFS('Overengineering Log'!$B:$B,"*"&amp;$B3&amp;"*",'Overengineering Log'!$F:$F,"High")</f>
        <v/>
      </c>
      <c r="M3" s="24" t="inlineStr">
        <is>
          <t>Undocumented/duplicated pre-processing (dedup, sentence-splitting) creates invisible correctness risk shared by every downstream detector.</t>
        </is>
      </c>
    </row>
    <row r="4">
      <c r="A4" s="14" t="inlineStr">
        <is>
          <t>P2</t>
        </is>
      </c>
      <c r="B4" s="14" t="inlineStr">
        <is>
          <t>Orchestration &amp; Risk Aggregation</t>
        </is>
      </c>
      <c r="C4" s="11" t="inlineStr">
        <is>
          <t>ParsedRecord list → per-check Finding[] → aggregated overall_risk + report payload</t>
        </is>
      </c>
      <c r="D4" s="11" t="inlineStr">
        <is>
          <t>Parsed record set</t>
        </is>
      </c>
      <c r="E4" s="11" t="inlineStr">
        <is>
          <t>Consolidated content-integrity report + overall_risk field</t>
        </is>
      </c>
      <c r="F4" s="11" t="inlineStr">
        <is>
          <t>Python orchestration layer; per-detector config; React (frontend risk calc)</t>
        </is>
      </c>
      <c r="G4" s="15">
        <f>COUNTIF('Component Audit'!$A:$A,$B4)</f>
        <v/>
      </c>
      <c r="H4" s="15">
        <f>COUNTIFS('Component Audit'!$A:$A,$B4,'Component Audit'!$E:$E,"Keep")</f>
        <v/>
      </c>
      <c r="I4" s="15">
        <f>COUNTIFS('Component Audit'!$A:$A,$B4,'Component Audit'!$E:$E,"Enhance")</f>
        <v/>
      </c>
      <c r="J4" s="15">
        <f>COUNTIFS('Component Audit'!$A:$A,$B4,'Component Audit'!$E:$E,"Remove")</f>
        <v/>
      </c>
      <c r="K4" s="17">
        <f>IFERROR(ROUND((H4*1+I4*0.5)/G4*100,0),"N/A")</f>
        <v/>
      </c>
      <c r="L4" s="15">
        <f>COUNTIFS('Overengineering Log'!$B:$B,"*"&amp;$B4&amp;"*",'Overengineering Log'!$F:$F,"Critical")+COUNTIFS('Overengineering Log'!$B:$B,"*"&amp;$B4&amp;"*",'Overengineering Log'!$F:$F,"High")</f>
        <v/>
      </c>
      <c r="M4" s="11" t="inlineStr">
        <is>
          <t>Binary High/Low collapse discards the graded priority every detector already computes; thresholds scattered with no central config.</t>
        </is>
      </c>
    </row>
    <row r="5">
      <c r="A5" s="8" t="inlineStr">
        <is>
          <t>P3</t>
        </is>
      </c>
      <c r="B5" s="8" t="inlineStr">
        <is>
          <t>Template Detection (Cross-Author)</t>
        </is>
      </c>
      <c r="C5" s="24" t="inlineStr">
        <is>
          <t>ParsedRecord[] → original/normalized/masked text → candidate pairs → pair classification → Templating flag + Template Evidence rows</t>
        </is>
      </c>
      <c r="D5" s="24" t="inlineStr">
        <is>
          <t>Title, abstract, sections per record</t>
        </is>
      </c>
      <c r="E5" s="24" t="inlineStr">
        <is>
          <t>Templating (Cross-Author) flag + Template Evidence sheet rows</t>
        </is>
      </c>
      <c r="F5" s="24" t="inlineStr">
        <is>
          <t>Python regex; difflib.SequenceMatcher; BLAKE2b/SHA-256 fingerprints; optional HF Transformers (PubMedBERT) / SciSpaCy</t>
        </is>
      </c>
      <c r="G5" s="12">
        <f>COUNTIF('Component Audit'!$A:$A,$B5)</f>
        <v/>
      </c>
      <c r="H5" s="12">
        <f>COUNTIFS('Component Audit'!$A:$A,$B5,'Component Audit'!$E:$E,"Keep")</f>
        <v/>
      </c>
      <c r="I5" s="12">
        <f>COUNTIFS('Component Audit'!$A:$A,$B5,'Component Audit'!$E:$E,"Enhance")</f>
        <v/>
      </c>
      <c r="J5" s="12">
        <f>COUNTIFS('Component Audit'!$A:$A,$B5,'Component Audit'!$E:$E,"Remove")</f>
        <v/>
      </c>
      <c r="K5" s="13">
        <f>IFERROR(ROUND((H5*1+I5*0.5)/G5*100,0),"N/A")</f>
        <v/>
      </c>
      <c r="L5" s="12">
        <f>COUNTIFS('Overengineering Log'!$B:$B,"*"&amp;$B5&amp;"*",'Overengineering Log'!$F:$F,"Critical")+COUNTIFS('Overengineering Log'!$B:$B,"*"&amp;$B5&amp;"*",'Overengineering Log'!$F:$F,"High")</f>
        <v/>
      </c>
      <c r="M5" s="24" t="inlineStr">
        <is>
          <t>Pairwise candidate comparison scales only to a single annual batch; a fully-built family-clustering capability sits unused.</t>
        </is>
      </c>
    </row>
    <row r="6">
      <c r="A6" s="14" t="inlineStr">
        <is>
          <t>P4</t>
        </is>
      </c>
      <c r="B6" s="14" t="inlineStr">
        <is>
          <t>LLM Response Trace</t>
        </is>
      </c>
      <c r="C6" s="11" t="inlineStr">
        <is>
          <t>Formatting-preserved title/abstract → regex + GPT-OSS candidates → verified &amp; validated findings</t>
        </is>
      </c>
      <c r="D6" s="11" t="inlineStr">
        <is>
          <t>Title/abstract with preserved formatting</t>
        </is>
      </c>
      <c r="E6" s="11" t="inlineStr">
        <is>
          <t>LLM Response Trace findings (confirmed/rejected/uncertain)</t>
        </is>
      </c>
      <c r="F6" s="11" t="inlineStr">
        <is>
          <t>lxml; Python re (YAML rule catalogue); GPT-OSS 20B via TNQ IntelliHub</t>
        </is>
      </c>
      <c r="G6" s="15">
        <f>COUNTIF('Component Audit'!$A:$A,$B6)</f>
        <v/>
      </c>
      <c r="H6" s="15">
        <f>COUNTIFS('Component Audit'!$A:$A,$B6,'Component Audit'!$E:$E,"Keep")</f>
        <v/>
      </c>
      <c r="I6" s="15">
        <f>COUNTIFS('Component Audit'!$A:$A,$B6,'Component Audit'!$E:$E,"Enhance")</f>
        <v/>
      </c>
      <c r="J6" s="15">
        <f>COUNTIFS('Component Audit'!$A:$A,$B6,'Component Audit'!$E:$E,"Remove")</f>
        <v/>
      </c>
      <c r="K6" s="17">
        <f>IFERROR(ROUND((H6*1+I6*0.5)/G6*100,0),"N/A")</f>
        <v/>
      </c>
      <c r="L6" s="15">
        <f>COUNTIFS('Overengineering Log'!$B:$B,"*"&amp;$B6&amp;"*",'Overengineering Log'!$F:$F,"Critical")+COUNTIFS('Overengineering Log'!$B:$B,"*"&amp;$B6&amp;"*",'Overengineering Log'!$F:$F,"High")</f>
        <v/>
      </c>
      <c r="M6" s="11" t="inlineStr">
        <is>
          <t>Best-architected pipeline in this audit; residual fragility only in quote/code-block context detection.</t>
        </is>
      </c>
    </row>
    <row r="7">
      <c r="A7" s="8" t="inlineStr">
        <is>
          <t>P5</t>
        </is>
      </c>
      <c r="B7" s="8" t="inlineStr">
        <is>
          <t>Tortured Phrase Detection</t>
        </is>
      </c>
      <c r="C7" s="24" t="inlineStr">
        <is>
          <t>Title/abstract → dictionary+regex candidates (known) &amp; sentence-level GPT-OSS candidates (new) → validated findings</t>
        </is>
      </c>
      <c r="D7" s="24" t="inlineStr">
        <is>
          <t>Title, abstract text</t>
        </is>
      </c>
      <c r="E7" s="24" t="inlineStr">
        <is>
          <t>Confirmed tortured-phrase findings; new-phrase discovery candidates</t>
        </is>
      </c>
      <c r="F7" s="24" t="inlineStr">
        <is>
          <t>Python re; CSV rule dictionary; GPT-OSS 20B (temperature=0)</t>
        </is>
      </c>
      <c r="G7" s="12">
        <f>COUNTIF('Component Audit'!$A:$A,$B7)</f>
        <v/>
      </c>
      <c r="H7" s="12">
        <f>COUNTIFS('Component Audit'!$A:$A,$B7,'Component Audit'!$E:$E,"Keep")</f>
        <v/>
      </c>
      <c r="I7" s="12">
        <f>COUNTIFS('Component Audit'!$A:$A,$B7,'Component Audit'!$E:$E,"Enhance")</f>
        <v/>
      </c>
      <c r="J7" s="12">
        <f>COUNTIFS('Component Audit'!$A:$A,$B7,'Component Audit'!$E:$E,"Remove")</f>
        <v/>
      </c>
      <c r="K7" s="13">
        <f>IFERROR(ROUND((H7*1+I7*0.5)/G7*100,0),"N/A")</f>
        <v/>
      </c>
      <c r="L7" s="12">
        <f>COUNTIFS('Overengineering Log'!$B:$B,"*"&amp;$B7&amp;"*",'Overengineering Log'!$F:$F,"Critical")+COUNTIFS('Overengineering Log'!$B:$B,"*"&amp;$B7&amp;"*",'Overengineering Log'!$F:$F,"High")</f>
        <v/>
      </c>
      <c r="M7" s="24" t="inlineStr">
        <is>
          <t>Correctness bug: the proximity operator (~N) in dictionary syntax is parsed but never enforced.</t>
        </is>
      </c>
    </row>
    <row r="8">
      <c r="A8" s="14" t="inlineStr">
        <is>
          <t>P6</t>
        </is>
      </c>
      <c r="B8" s="14" t="inlineStr">
        <is>
          <t>Numerical Contradiction</t>
        </is>
      </c>
      <c r="C8" s="11" t="inlineStr">
        <is>
          <t>Abstract sentences → regex numeric claims → arithmetic/boundary rules → findings</t>
        </is>
      </c>
      <c r="D8" s="11" t="inlineStr">
        <is>
          <t>Abstract text (section-aware where structured)</t>
        </is>
      </c>
      <c r="E8" s="11" t="inlineStr">
        <is>
          <t>Numerical contradiction findings (no LLM stage)</t>
        </is>
      </c>
      <c r="F8" s="11" t="inlineStr">
        <is>
          <t>Python re (fully deterministic, no ML/LLM)</t>
        </is>
      </c>
      <c r="G8" s="15">
        <f>COUNTIF('Component Audit'!$A:$A,$B8)</f>
        <v/>
      </c>
      <c r="H8" s="15">
        <f>COUNTIFS('Component Audit'!$A:$A,$B8,'Component Audit'!$E:$E,"Keep")</f>
        <v/>
      </c>
      <c r="I8" s="15">
        <f>COUNTIFS('Component Audit'!$A:$A,$B8,'Component Audit'!$E:$E,"Enhance")</f>
        <v/>
      </c>
      <c r="J8" s="15">
        <f>COUNTIFS('Component Audit'!$A:$A,$B8,'Component Audit'!$E:$E,"Remove")</f>
        <v/>
      </c>
      <c r="K8" s="17">
        <f>IFERROR(ROUND((H8*1+I8*0.5)/G8*100,0),"N/A")</f>
        <v/>
      </c>
      <c r="L8" s="15">
        <f>COUNTIFS('Overengineering Log'!$B:$B,"*"&amp;$B8&amp;"*",'Overengineering Log'!$F:$F,"Critical")+COUNTIFS('Overengineering Log'!$B:$B,"*"&amp;$B8&amp;"*",'Overengineering Log'!$F:$F,"High")</f>
        <v/>
      </c>
      <c r="M8" s="11" t="inlineStr">
        <is>
          <t>Sentence-local-only reasoning misses the most common cross-sentence N-vs-percentage pattern in real abstracts.</t>
        </is>
      </c>
    </row>
    <row r="9">
      <c r="A9" s="8" t="inlineStr">
        <is>
          <t>P7</t>
        </is>
      </c>
      <c r="B9" s="8" t="inlineStr">
        <is>
          <t>Design Contradiction</t>
        </is>
      </c>
      <c r="C9" s="24" t="inlineStr">
        <is>
          <t>Title + abstract sections → regex design-attribute claims → fixed incompatibility rules → component/context suppression → optional LLM annotation</t>
        </is>
      </c>
      <c r="D9" s="24" t="inlineStr">
        <is>
          <t>Title, abstract sections</t>
        </is>
      </c>
      <c r="E9" s="24" t="inlineStr">
        <is>
          <t>Design contradiction findings (+ optional non-gating LLM annotation)</t>
        </is>
      </c>
      <c r="F9" s="24" t="inlineStr">
        <is>
          <t>Python re; itertools; optional GPT-OSS 20B via IntelliHub</t>
        </is>
      </c>
      <c r="G9" s="12">
        <f>COUNTIF('Component Audit'!$A:$A,$B9)</f>
        <v/>
      </c>
      <c r="H9" s="12">
        <f>COUNTIFS('Component Audit'!$A:$A,$B9,'Component Audit'!$E:$E,"Keep")</f>
        <v/>
      </c>
      <c r="I9" s="12">
        <f>COUNTIFS('Component Audit'!$A:$A,$B9,'Component Audit'!$E:$E,"Enhance")</f>
        <v/>
      </c>
      <c r="J9" s="12">
        <f>COUNTIFS('Component Audit'!$A:$A,$B9,'Component Audit'!$E:$E,"Remove")</f>
        <v/>
      </c>
      <c r="K9" s="13">
        <f>IFERROR(ROUND((H9*1+I9*0.5)/G9*100,0),"N/A")</f>
        <v/>
      </c>
      <c r="L9" s="12">
        <f>COUNTIFS('Overengineering Log'!$B:$B,"*"&amp;$B9&amp;"*",'Overengineering Log'!$F:$F,"Critical")+COUNTIFS('Overengineering Log'!$B:$B,"*"&amp;$B9&amp;"*",'Overengineering Log'!$F:$F,"High")</f>
        <v/>
      </c>
      <c r="M9" s="24" t="inlineStr">
        <is>
          <t>LLM validation result is computed but never gates the surfaced flag — inconsistent with the other two LLM-validated checks.</t>
        </is>
      </c>
    </row>
    <row r="10">
      <c r="A10" s="14" t="inlineStr">
        <is>
          <t>P8</t>
        </is>
      </c>
      <c r="B10" s="14" t="inlineStr">
        <is>
          <t>Unverifiable Clinical Trial</t>
        </is>
      </c>
      <c r="C10" s="11" t="inlineStr">
        <is>
          <t>Title + abstract → registry ID / registration-phrase regex → format validation → (valid IDs only) ClinicalTrials.gov API v2 lookup</t>
        </is>
      </c>
      <c r="D10" s="11" t="inlineStr">
        <is>
          <t>Title, abstract text</t>
        </is>
      </c>
      <c r="E10" s="11" t="inlineStr">
        <is>
          <t>Trial verification findings (not_found / invalid / placeholder / unsupported registry)</t>
        </is>
      </c>
      <c r="F10" s="11" t="inlineStr">
        <is>
          <t>Python re; urllib.request; ClinicalTrials.gov API v2; JSON file cache</t>
        </is>
      </c>
      <c r="G10" s="15">
        <f>COUNTIF('Component Audit'!$A:$A,$B10)</f>
        <v/>
      </c>
      <c r="H10" s="15">
        <f>COUNTIFS('Component Audit'!$A:$A,$B10,'Component Audit'!$E:$E,"Keep")</f>
        <v/>
      </c>
      <c r="I10" s="15">
        <f>COUNTIFS('Component Audit'!$A:$A,$B10,'Component Audit'!$E:$E,"Enhance")</f>
        <v/>
      </c>
      <c r="J10" s="15">
        <f>COUNTIFS('Component Audit'!$A:$A,$B10,'Component Audit'!$E:$E,"Remove")</f>
        <v/>
      </c>
      <c r="K10" s="17">
        <f>IFERROR(ROUND((H10*1+I10*0.5)/G10*100,0),"N/A")</f>
        <v/>
      </c>
      <c r="L10" s="15">
        <f>COUNTIFS('Overengineering Log'!$B:$B,"*"&amp;$B10&amp;"*",'Overengineering Log'!$F:$F,"Critical")+COUNTIFS('Overengineering Log'!$B:$B,"*"&amp;$B10&amp;"*",'Overengineering Log'!$F:$F,"High")</f>
        <v/>
      </c>
      <c r="M10" s="11" t="inlineStr">
        <is>
          <t>Best-engineered external dependency in the system (timeout/retry/backoff/cache); registry coverage list is the real gap.</t>
        </is>
      </c>
    </row>
    <row r="11">
      <c r="A11" s="8" t="inlineStr">
        <is>
          <t>P9</t>
        </is>
      </c>
      <c r="B11" s="8" t="inlineStr">
        <is>
          <t>Consolidated Workbook / Reporting</t>
        </is>
      </c>
      <c r="C11" s="24" t="inlineStr">
        <is>
          <t>Finding[] across all six checks → All Abstracts / Check Detail / Template Evidence sheets in one XLSX</t>
        </is>
      </c>
      <c r="D11" s="24" t="inlineStr">
        <is>
          <t>Findings from P3–P8</t>
        </is>
      </c>
      <c r="E11" s="24" t="inlineStr">
        <is>
          <t>Editor-facing consolidated .xlsx workbook</t>
        </is>
      </c>
      <c r="F11" s="24" t="inlineStr">
        <is>
          <t>XLSX export layer per PRD (openpyxl/pandas-style)</t>
        </is>
      </c>
      <c r="G11" s="12">
        <f>COUNTIF('Component Audit'!$A:$A,$B11)</f>
        <v/>
      </c>
      <c r="H11" s="12">
        <f>COUNTIFS('Component Audit'!$A:$A,$B11,'Component Audit'!$E:$E,"Keep")</f>
        <v/>
      </c>
      <c r="I11" s="12">
        <f>COUNTIFS('Component Audit'!$A:$A,$B11,'Component Audit'!$E:$E,"Enhance")</f>
        <v/>
      </c>
      <c r="J11" s="12">
        <f>COUNTIFS('Component Audit'!$A:$A,$B11,'Component Audit'!$E:$E,"Remove")</f>
        <v/>
      </c>
      <c r="K11" s="13">
        <f>IFERROR(ROUND((H11*1+I11*0.5)/G11*100,0),"N/A")</f>
        <v/>
      </c>
      <c r="L11" s="12">
        <f>COUNTIFS('Overengineering Log'!$B:$B,"*"&amp;$B11&amp;"*",'Overengineering Log'!$F:$F,"Critical")+COUNTIFS('Overengineering Log'!$B:$B,"*"&amp;$B11&amp;"*",'Overengineering Log'!$F:$F,"High")</f>
        <v/>
      </c>
      <c r="M11" s="24" t="inlineStr">
        <is>
          <t>Multiple structured fields computed internally (numeric deltas, trial metadata, validation reasons) are silently dropped before export.</t>
        </is>
      </c>
    </row>
    <row r="12">
      <c r="A12" s="14" t="inlineStr">
        <is>
          <t>P10</t>
        </is>
      </c>
      <c r="B12" s="14" t="inlineStr">
        <is>
          <t>Editor Frontend &amp; Evals</t>
        </is>
      </c>
      <c r="C12" s="11" t="inlineStr">
        <is>
          <t>Consolidated JSON payload → per-submission review screens + Evals validation view</t>
        </is>
      </c>
      <c r="D12" s="11" t="inlineStr">
        <is>
          <t>Consolidated report JSON</t>
        </is>
      </c>
      <c r="E12" s="11" t="inlineStr">
        <is>
          <t>Rendered editor review UI</t>
        </is>
      </c>
      <c r="F12" s="11" t="inlineStr">
        <is>
          <t>React frontend; JSON checks object</t>
        </is>
      </c>
      <c r="G12" s="15">
        <f>COUNTIF('Component Audit'!$A:$A,$B12)</f>
        <v/>
      </c>
      <c r="H12" s="15">
        <f>COUNTIFS('Component Audit'!$A:$A,$B12,'Component Audit'!$E:$E,"Keep")</f>
        <v/>
      </c>
      <c r="I12" s="15">
        <f>COUNTIFS('Component Audit'!$A:$A,$B12,'Component Audit'!$E:$E,"Enhance")</f>
        <v/>
      </c>
      <c r="J12" s="15">
        <f>COUNTIFS('Component Audit'!$A:$A,$B12,'Component Audit'!$E:$E,"Remove")</f>
        <v/>
      </c>
      <c r="K12" s="17">
        <f>IFERROR(ROUND((H12*1+I12*0.5)/G12*100,0),"N/A")</f>
        <v/>
      </c>
      <c r="L12" s="15">
        <f>COUNTIFS('Overengineering Log'!$B:$B,"*"&amp;$B12&amp;"*",'Overengineering Log'!$F:$F,"Critical")+COUNTIFS('Overengineering Log'!$B:$B,"*"&amp;$B12&amp;"*",'Overengineering Log'!$F:$F,"High")</f>
        <v/>
      </c>
      <c r="M12" s="11" t="inlineStr">
        <is>
          <t>Mirrors the P2 binary-risk problem on the UI side; Evals view covers only 2 of the 3 LLM-validated checks.</t>
        </is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autoFilter ref="$A$2:$M$12"/>
  <mergeCells count="1">
    <mergeCell ref="A1:M1"/>
  </mergeCells>
  <conditionalFormatting sqref="K3:K12">
    <cfRule type="cellIs" priority="1" operator="lessThan" dxfId="8">
      <formula>60</formula>
    </cfRule>
    <cfRule type="cellIs" priority="2" operator="greaterThanOrEqual" dxfId="9">
      <formula>85</formula>
    </cfRule>
  </conditionalFormatting>
  <conditionalFormatting sqref="L3:L12">
    <cfRule type="cellIs" priority="3" operator="greaterThan" dxfId="10">
      <formula>0</formula>
    </cfRule>
  </conditionalFormatting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tabColor rgb="FF2E5395"/>
    <outlinePr summaryBelow="1" summaryRight="1"/>
    <pageSetUpPr/>
  </sheetPr>
  <dimension ref="A1:I6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baseColWidth="8" defaultColWidth="14.43" defaultRowHeight="15" customHeight="1"/>
  <cols>
    <col width="22" customWidth="1" style="22" min="1" max="1"/>
    <col width="34" customWidth="1" style="22" min="2" max="2"/>
    <col width="52" customWidth="1" style="22" min="3" max="3"/>
    <col width="17.43" customWidth="1" style="22" min="4" max="4"/>
    <col width="13.86" customWidth="1" style="22" min="5" max="5"/>
    <col width="55" customWidth="1" style="22" min="6" max="6"/>
    <col width="30" customWidth="1" style="22" min="7" max="7"/>
    <col width="9" customWidth="1" style="22" min="8" max="8"/>
    <col width="58" customWidth="1" style="22" min="9" max="26"/>
  </cols>
  <sheetData>
    <row r="1" ht="27.75" customHeight="1" s="22">
      <c r="A1" s="1" t="inlineStr">
        <is>
          <t>Component-Level Audit &amp; Triage — every row is grounded in a specific, named behavior from the technical design docs. Verdict/Priority are dropdown-editable so this can be re-triaged as work lands or as the live repo becomes reviewable.</t>
        </is>
      </c>
    </row>
    <row r="2" ht="24" customHeight="1" s="22">
      <c r="A2" s="23" t="inlineStr">
        <is>
          <t>Pipeline Name</t>
        </is>
      </c>
      <c r="B2" s="23" t="inlineStr">
        <is>
          <t>Component / Module</t>
        </is>
      </c>
      <c r="C2" s="23" t="inlineStr">
        <is>
          <t>Current Implementation</t>
        </is>
      </c>
      <c r="D2" s="23" t="inlineStr">
        <is>
          <t>Real-World Viability</t>
        </is>
      </c>
      <c r="E2" s="23" t="inlineStr">
        <is>
          <t>Verdict</t>
        </is>
      </c>
      <c r="F2" s="23" t="inlineStr">
        <is>
          <t>Action Items</t>
        </is>
      </c>
      <c r="G2" s="23" t="inlineStr">
        <is>
          <t>Source Reference</t>
        </is>
      </c>
      <c r="H2" s="23" t="inlineStr">
        <is>
          <t>Priority</t>
        </is>
      </c>
      <c r="I2" s="23" t="inlineStr">
        <is>
          <t>Resolution Status (Phase 0/1 verification)</t>
        </is>
      </c>
    </row>
    <row r="3" ht="60" customHeight="1" s="22">
      <c r="A3" s="7" t="inlineStr">
        <is>
          <t>XML Ingestion &amp; Record Parsing</t>
        </is>
      </c>
      <c r="B3" s="24" t="inlineStr">
        <is>
          <t>XML Parser (lxml)</t>
        </is>
      </c>
      <c r="C3" s="24" t="inlineStr">
        <is>
          <t>lxml parses raw submission XML into ParsedRecord objects; extracts ID, title, abstract, structured sections, authors, affiliations, trial IDs.</t>
        </is>
      </c>
      <c r="D3" s="7" t="inlineStr">
        <is>
          <t>Medium</t>
        </is>
      </c>
      <c r="E3" s="7" t="inlineStr">
        <is>
          <t>Enhance</t>
        </is>
      </c>
      <c r="F3" s="24" t="inlineStr">
        <is>
          <t>Add a schema-tolerant fallback (recover=True or a secondary parser) plus structured parse-failure logging with reason codes, instead of the current 'remove records whose parsing failed' silent drop.</t>
        </is>
      </c>
      <c r="G3" s="24" t="inlineStr">
        <is>
          <t>Template Detection §2; Numerical/Design/Trial §1</t>
        </is>
      </c>
      <c r="H3" s="7" t="inlineStr">
        <is>
          <t>P2</t>
        </is>
      </c>
    </row>
    <row r="4" ht="60" customHeight="1" s="22">
      <c r="A4" s="10" t="inlineStr">
        <is>
          <t>XML Ingestion &amp; Record Parsing</t>
        </is>
      </c>
      <c r="B4" s="11" t="inlineStr">
        <is>
          <t>Duplicate Record ID Resolution</t>
        </is>
      </c>
      <c r="C4" s="11" t="inlineStr">
        <is>
          <t>'Duplicate record IDs are also resolved before comparison' -- no algorithm, matching key, or collision policy is documented.</t>
        </is>
      </c>
      <c r="D4" s="10" t="inlineStr">
        <is>
          <t>Low</t>
        </is>
      </c>
      <c r="E4" s="10" t="inlineStr">
        <is>
          <t>Enhance</t>
        </is>
      </c>
      <c r="F4" s="11" t="inlineStr">
        <is>
          <t>Make this a named, unit-tested function; log collision counts; document the tie-break rule (first-seen wins? most-complete record wins?).</t>
        </is>
      </c>
      <c r="G4" s="11" t="inlineStr">
        <is>
          <t>Template Detection §2</t>
        </is>
      </c>
      <c r="H4" s="10" t="inlineStr">
        <is>
          <t>P1</t>
        </is>
      </c>
    </row>
    <row r="5" s="22">
      <c r="A5" s="7" t="inlineStr">
        <is>
          <t>XML Ingestion &amp; Record Parsing</t>
        </is>
      </c>
      <c r="B5" s="24" t="inlineStr">
        <is>
          <t>Sentence Splitter (regex `(?&lt;=[.!?])\s+`)</t>
        </is>
      </c>
      <c r="C5" s="24" t="inlineStr">
        <is>
          <t>Naive punctuation-lookbehind regex, independently reimplemented in Numerical, Design, and Clinical Trial detectors (and implied elsewhere).</t>
        </is>
      </c>
      <c r="D5" s="7" t="inlineStr">
        <is>
          <t>Medium</t>
        </is>
      </c>
      <c r="E5" s="7" t="inlineStr">
        <is>
          <t>Enhance</t>
        </is>
      </c>
      <c r="F5" s="24" t="inlineStr">
        <is>
          <t>Extract one shared, abbreviation-aware sentence tokenizer (e.g. pySBD or a spaCy rule-based sentencizer) and delete the per-pipeline copies.</t>
        </is>
      </c>
      <c r="G5" s="24" t="inlineStr">
        <is>
          <t>Numerical/Design/Trial §1 (shared pipeline behaviour)</t>
        </is>
      </c>
      <c r="H5" s="7" t="inlineStr">
        <is>
          <t>P1</t>
        </is>
      </c>
      <c r="I5" s="24" t="inlineStr">
        <is>
          <t>Partially resolved — Phase 1 (2026-08-19). Investigation found 8 independent implementations, not the 3 named here. Consolidated the true duplicates (identical naive-regex intent) into one content_integrity.utils.split_sentences(): template_matching_common._sentence_split (already shared by 5 detectors) now delegates to it; entity_substitutions.py, signal_validation.py, and enriched_reporting.py repointed, deleting their local copies. Also fixed a latent bug this duplication caused: entity_extraction._sentence_index derived its count from a different regex than entity_substitutions used to build its sentence list, so lookups could land in the wrong sentence — both now derive from the same split_sentences() call. NOT done: this is still the naive regex, not an abbreviation-aware tokenizer (Fig./vs./e.g. still fracture sentences); template_features._sentence_spans, llm_trace_context._sentence_spans, and tortured_phrase._SENTENCE_BREAK_RE were deliberately left untouched (span/boundary contract, not a drop-in duplicate) for the Phase 3 abbreviation-aware pass.</t>
        </is>
      </c>
    </row>
    <row r="6" ht="60" customHeight="1" s="22">
      <c r="A6" s="10" t="inlineStr">
        <is>
          <t>XML Ingestion &amp; Record Parsing</t>
        </is>
      </c>
      <c r="B6" s="11" t="inlineStr">
        <is>
          <t>Structured Section Extraction (Background/Methods/Results/Conclusions)</t>
        </is>
      </c>
      <c r="C6" s="11" t="inlineStr">
        <is>
          <t>Deterministic tag-based retention of structured abstract sections, kept separate so downstream checks can compare Results↔Results, Methods↔Methods.</t>
        </is>
      </c>
      <c r="D6" s="10" t="inlineStr">
        <is>
          <t>High</t>
        </is>
      </c>
      <c r="E6" s="10" t="inlineStr">
        <is>
          <t>Keep</t>
        </is>
      </c>
      <c r="F6" s="11" t="inlineStr">
        <is>
          <t>No major change. Add a fallback heuristic (e.g. bolded run-in headings) for abstracts with non-standard or free-text section labels.</t>
        </is>
      </c>
      <c r="G6" s="11" t="inlineStr">
        <is>
          <t>Template Detection §2</t>
        </is>
      </c>
      <c r="H6" s="10" t="inlineStr">
        <is>
          <t>P3</t>
        </is>
      </c>
    </row>
    <row r="7" s="22">
      <c r="A7" s="7" t="inlineStr">
        <is>
          <t>XML Ingestion &amp; Record Parsing</t>
        </is>
      </c>
      <c r="B7" s="24" t="inlineStr">
        <is>
          <t>Failed/Empty Record Filtering</t>
        </is>
      </c>
      <c r="C7" s="24" t="inlineStr">
        <is>
          <t>Records with failed parsing or no usable title/abstract text are removed before detectors run.</t>
        </is>
      </c>
      <c r="D7" s="7" t="inlineStr">
        <is>
          <t>High</t>
        </is>
      </c>
      <c r="E7" s="7" t="inlineStr">
        <is>
          <t>Keep</t>
        </is>
      </c>
      <c r="F7" s="24" t="inlineStr">
        <is>
          <t>Emit exclusion counts + reasons into run metadata instead of a silent drop -- the PRD explicitly requires the workbook to 'show all abstracts and run metadata' even when nothing is found.</t>
        </is>
      </c>
      <c r="G7" s="24" t="inlineStr">
        <is>
          <t>Numerical/Design/Trial §1; PRD v1 §12 edge cases</t>
        </is>
      </c>
      <c r="H7" s="7" t="inlineStr">
        <is>
          <t>P1</t>
        </is>
      </c>
      <c r="I7" s="24" t="inlineStr">
        <is>
          <t>Resolved — Phase 0 (2026-08-19). pipeline.py now emits one OperationalIssue per record excluded from numerical/design/trial checks (component=numerical_contradiction / design_contradiction / unverifiable_clinical_trial, error_type=record_excluded_parse_failed or record_excluded_no_text) instead of a silent drop, plus comparable_record_count and records_excluded_from_numerical_design_trial_checks in run metadata. Verified: a record that previously read as a clean pass on these 3 checks now shows operational_failure=True.</t>
        </is>
      </c>
    </row>
    <row r="8" ht="60" customHeight="1" s="22">
      <c r="A8" s="10" t="inlineStr">
        <is>
          <t>Orchestration &amp; Risk Aggregation</t>
        </is>
      </c>
      <c r="B8" s="11" t="inlineStr">
        <is>
          <t>Overall Risk Aggregation Rule</t>
        </is>
      </c>
      <c r="C8" s="11" t="inlineStr">
        <is>
          <t>Frontend rule: any one content check flagged -&gt; overall_risk = High; no checks flagged -&gt; Low. No active Moderate path.</t>
        </is>
      </c>
      <c r="D8" s="10" t="inlineStr">
        <is>
          <t>Low</t>
        </is>
      </c>
      <c r="E8" s="10" t="inlineStr">
        <is>
          <t>Enhance</t>
        </is>
      </c>
      <c r="F8" s="11" t="inlineStr">
        <is>
          <t>Replace the binary collapse with the graded High/Medium/Low/None model the PRD itself specifies and that every detector already computes per-check.</t>
        </is>
      </c>
      <c r="G8" s="11" t="inlineStr">
        <is>
          <t>Numerical/Design/Trial §28</t>
        </is>
      </c>
      <c r="H8" s="10" t="inlineStr">
        <is>
          <t>P0</t>
        </is>
      </c>
    </row>
    <row r="9" s="22">
      <c r="A9" s="7" t="inlineStr">
        <is>
          <t>Orchestration &amp; Risk Aggregation</t>
        </is>
      </c>
      <c r="B9" s="24" t="inlineStr">
        <is>
          <t>Cross-Pipeline Threshold / Config Management</t>
        </is>
      </c>
      <c r="C9" s="24" t="inlineStr">
        <is>
          <t>At least 15 numeric thresholds (similarity cutoffs, word-count minimums, confidence mappings, timeouts, tolerances) are hardcoded independently inside each detector module.</t>
        </is>
      </c>
      <c r="D9" s="7" t="inlineStr">
        <is>
          <t>High</t>
        </is>
      </c>
      <c r="E9" s="7" t="inlineStr">
        <is>
          <t>Keep</t>
        </is>
      </c>
      <c r="F9" s="24" t="inlineStr">
        <is>
          <t>Centralize into one versioned config, extending the dictionary/pattern-version discipline already used for tortured phrases to every threshold.</t>
        </is>
      </c>
      <c r="G9" s="24" t="inlineStr">
        <is>
          <t>Cross-pipeline (Template §4, Tortured Phrase §13, Numerical §5, Trial §21)</t>
        </is>
      </c>
      <c r="H9" s="7" t="inlineStr">
        <is>
          <t>P2</t>
        </is>
      </c>
      <c r="I9" s="24" t="inlineStr">
        <is>
          <t>Resolved — Phase 1 (2026-08-19). All threshold/magic-number constants (~50, across 15 files) relocated to content_integrity/thresholds.py; a repo-wide grep for scattered module-level numeric constants now returns zero hits outside that file. Versioned via the git commit sha already stamped in run metadata (Phase 0) rather than a separate content-hash scheme — a deliberate, approved alternative to literally extending the tortured-phrase dictionary's sha256-versioning pattern, since these are code-tuned knobs, not an externally-edited catalogue.</t>
        </is>
      </c>
    </row>
    <row r="10" s="22">
      <c r="A10" s="10" t="inlineStr">
        <is>
          <t>Orchestration &amp; Risk Aggregation</t>
        </is>
      </c>
      <c r="B10" s="11" t="inlineStr">
        <is>
          <t>LLM Call Orchestration (GPT-OSS usage across 3 pipelines)</t>
        </is>
      </c>
      <c r="C10" s="11" t="inlineStr">
        <is>
          <t>Tortured Phrase, LLM Response Trace, and Design Contradiction each call GPT-OSS independently; only the ClinicalTrials.gov adapter documents timeout/retry/backoff.</t>
        </is>
      </c>
      <c r="D10" s="10" t="inlineStr">
        <is>
          <t>High</t>
        </is>
      </c>
      <c r="E10" s="10" t="inlineStr">
        <is>
          <t>Keep</t>
        </is>
      </c>
      <c r="F10" s="11" t="inlineStr">
        <is>
          <t>Build one shared LLM client wrapper (timeout, retry/backoff, batching, cost/latency telemetry) reused by all three call sites, mirroring the registry adapter's resilience pattern.</t>
        </is>
      </c>
      <c r="G10" s="11" t="inlineStr">
        <is>
          <t>LLM Response Trace §3-8; Tortured Phrase §13, §19; Design Contradiction §15; Trial §22</t>
        </is>
      </c>
      <c r="H10" s="10" t="inlineStr">
        <is>
          <t>P1</t>
        </is>
      </c>
      <c r="I10" s="24" t="inlineStr">
        <is>
          <t>Resolved — Phase 0 (2026-08-19). One shared IntelliHubGPTOSSClient (validators/context_validator.py) already served every GPT-OSS call site (5, not just 3: tortured-phrase validation, LLM-trace validation, design-contradiction validation, nonsense-candidate, semantic-trace discovery) with timeout/retry/backoff; added the missing piece — a CallStats dataclass instrumented once in _request(), giving request/success/failure/retry counts and total/avg/max latency, surfaced as llm_gateway_* fields in run metadata. Batching already existed per call site.</t>
        </is>
      </c>
    </row>
    <row r="11" s="22">
      <c r="A11" s="7" t="inlineStr">
        <is>
          <t>Orchestration &amp; Risk Aggregation</t>
        </is>
      </c>
      <c r="B11" s="24" t="inlineStr">
        <is>
          <t>Run Metadata &amp; Dictionary Versioning</t>
        </is>
      </c>
      <c r="C11" s="24" t="inlineStr">
        <is>
          <t>PRD risk mitigation calls for storing dictionary version and screening-run metadata; only documented in detail for the tortured-phrase CSV.</t>
        </is>
      </c>
      <c r="D11" s="7" t="inlineStr">
        <is>
          <t>High</t>
        </is>
      </c>
      <c r="E11" s="7" t="inlineStr">
        <is>
          <t>Keep</t>
        </is>
      </c>
      <c r="F11" s="24" t="inlineStr">
        <is>
          <t>Confirm and extend version stamping to the LLM-trace YAML catalogue and the design-contradiction rule table so every rule source is auditable the same way.</t>
        </is>
      </c>
      <c r="G11" s="24" t="inlineStr">
        <is>
          <t>PRD v1 §13 Risks/Mitigations</t>
        </is>
      </c>
      <c r="H11" s="7" t="inlineStr">
        <is>
          <t>P2</t>
        </is>
      </c>
      <c r="I11" s="24" t="inlineStr">
        <is>
          <t>Resolved — Phase 0 (2026-08-19), completed today. LLM-trace YAML catalogue version/checksum already stamped pre-existing; added template_feature_version, template_pair_classifier_version, template_signal_validation_version, template_family_version, editorial_scoring_version, entity_vocabulary_version, and — closing the one remaining gap this row named — design_contradiction_rule_table_version and design_contradiction_prompt_version (previously unstamped). Every rule source in the system is now version-stamped in run metadata.</t>
        </is>
      </c>
    </row>
    <row r="12" ht="60" customHeight="1" s="22">
      <c r="A12" s="10" t="inlineStr">
        <is>
          <t>Template Detection (Cross-Author)</t>
        </is>
      </c>
      <c r="B12" s="11" t="inlineStr">
        <is>
          <t>Entity Masking (deterministic regex/biomedical rules)</t>
        </is>
      </c>
      <c r="C12" s="11" t="inlineStr">
        <is>
          <t>Regex + biomedical vocabulary rules replace genes, drugs, diseases, trial IDs, percentages, etc. with placeholder tokens before structural comparison.</t>
        </is>
      </c>
      <c r="D12" s="10" t="inlineStr">
        <is>
          <t>Medium</t>
        </is>
      </c>
      <c r="E12" s="10" t="inlineStr">
        <is>
          <t>Enhance</t>
        </is>
      </c>
      <c r="F12" s="11" t="inlineStr">
        <is>
          <t>Appropriately precision-first for V1; the risk is vocabulary drift. Add a scheduled refresh against an external source (e.g. HGNC gene symbols, WHO INN drug stems) instead of a static in-repo list.</t>
        </is>
      </c>
      <c r="G12" s="11" t="inlineStr">
        <is>
          <t>Template Detection §4</t>
        </is>
      </c>
      <c r="H12" s="10" t="inlineStr">
        <is>
          <t>P2</t>
        </is>
      </c>
    </row>
    <row r="13" ht="60" customHeight="1" s="22">
      <c r="A13" s="7" t="inlineStr">
        <is>
          <t>Template Detection (Cross-Author)</t>
        </is>
      </c>
      <c r="B13" s="24" t="inlineStr">
        <is>
          <t>Optional PubMedBERT / SciSpaCy NER enrichment</t>
        </is>
      </c>
      <c r="C13" s="24" t="inlineStr">
        <is>
          <t>Model-based biomedical NER can supplement the regex masking layer; default confidence threshold 0.80. Explicitly optional.</t>
        </is>
      </c>
      <c r="D13" s="7" t="inlineStr">
        <is>
          <t>Medium</t>
        </is>
      </c>
      <c r="E13" s="7" t="inlineStr">
        <is>
          <t>Keep</t>
        </is>
      </c>
      <c r="F13" s="24" t="inlineStr">
        <is>
          <t>Genuinely additive and non-blocking. Document graceful degradation to regex-only when the model is unavailable or times out -- current behaviour on model failure is unspecified.</t>
        </is>
      </c>
      <c r="G13" s="24" t="inlineStr">
        <is>
          <t>Template Detection §4</t>
        </is>
      </c>
      <c r="H13" s="7" t="inlineStr">
        <is>
          <t>P2</t>
        </is>
      </c>
    </row>
    <row r="14" ht="60" customHeight="1" s="22">
      <c r="A14" s="10" t="inlineStr">
        <is>
          <t>Template Detection (Cross-Author)</t>
        </is>
      </c>
      <c r="B14" s="11" t="inlineStr">
        <is>
          <t>Candidate Retrieval (prefix/length blocking + entity-shape blocking + BLAKE2b fingerprints + 5-word n-gram sharing + masked-title retrieval)</t>
        </is>
      </c>
      <c r="C14" s="11" t="inlineStr">
        <is>
          <t>Five independent heuristic blocking strategies combine to decide which abstract pairs get the expensive deep comparison.</t>
        </is>
      </c>
      <c r="D14" s="10" t="inlineStr">
        <is>
          <t>Medium</t>
        </is>
      </c>
      <c r="E14" s="10" t="inlineStr">
        <is>
          <t>Enhance</t>
        </is>
      </c>
      <c r="F14" s="11" t="inlineStr">
        <is>
          <t>Fine at ~6,000 abstracts/year; does not scale to multi-year cumulative comparison (a PRD open question). Add an ANN/MinHash-LSH candidate layer ahead of the existing deterministic classifiers -- classification logic itself stays unchanged.</t>
        </is>
      </c>
      <c r="G14" s="11" t="inlineStr">
        <is>
          <t>Template Detection §5</t>
        </is>
      </c>
      <c r="H14" s="10" t="inlineStr">
        <is>
          <t>P1</t>
        </is>
      </c>
    </row>
    <row r="15" ht="60" customHeight="1" s="22">
      <c r="A15" s="7" t="inlineStr">
        <is>
          <t>Template Detection (Cross-Author)</t>
        </is>
      </c>
      <c r="B15" s="24" t="inlineStr">
        <is>
          <t>Direct-Text-Reuse Detector (SequenceMatcher + generic-phrase filtering + corpus-aware distinctive sentences)</t>
        </is>
      </c>
      <c r="C15" s="24" t="inlineStr">
        <is>
          <t>difflib.SequenceMatcher on word tokens, with generic-boilerplate filtering and a corpus-frequency check so rare shared sentences count more than common ones.</t>
        </is>
      </c>
      <c r="D15" s="7" t="inlineStr">
        <is>
          <t>High</t>
        </is>
      </c>
      <c r="E15" s="7" t="inlineStr">
        <is>
          <t>Keep</t>
        </is>
      </c>
      <c r="F15" s="24" t="inlineStr">
        <is>
          <t>No behavioural change needed. difflib.SequenceMatcher is O(n·m); benchmark against rapidfuzz as a drop-in if runtime becomes an issue at scale.</t>
        </is>
      </c>
      <c r="G15" s="24" t="inlineStr">
        <is>
          <t>Template Detection §6</t>
        </is>
      </c>
      <c r="H15" s="7" t="inlineStr">
        <is>
          <t>P3</t>
        </is>
      </c>
    </row>
    <row r="16" ht="60" customHeight="1" s="22">
      <c r="A16" s="10" t="inlineStr">
        <is>
          <t>Template Detection (Cross-Author)</t>
        </is>
      </c>
      <c r="B16" s="11" t="inlineStr">
        <is>
          <t>Entity-Normalized Template Detector (masked ≥0.88 AND original ≥0.55)</t>
        </is>
      </c>
      <c r="C16" s="11" t="inlineStr">
        <is>
          <t>Dual-similarity guard requiring both masked-structure similarity and a minimum of real original-wording overlap before a structural match counts.</t>
        </is>
      </c>
      <c r="D16" s="10" t="inlineStr">
        <is>
          <t>High</t>
        </is>
      </c>
      <c r="E16" s="10" t="inlineStr">
        <is>
          <t>Keep</t>
        </is>
      </c>
      <c r="F16" s="11" t="inlineStr">
        <is>
          <t>Well-reasoned anti-false-positive design (prevents two unrelated abstracts becoming a finding purely from placeholder collapse). Document the rationale inline in code, not only in the design doc.</t>
        </is>
      </c>
      <c r="G16" s="11" t="inlineStr">
        <is>
          <t>Template Detection §7</t>
        </is>
      </c>
      <c r="H16" s="10" t="inlineStr">
        <is>
          <t>P3</t>
        </is>
      </c>
    </row>
    <row r="17" ht="60" customHeight="1" s="22">
      <c r="A17" s="7" t="inlineStr">
        <is>
          <t>Template Detection (Cross-Author)</t>
        </is>
      </c>
      <c r="B17" s="24" t="inlineStr">
        <is>
          <t>Evidence Combination (primary = strongest signal, not summed; supporting adds ≤0.25)</t>
        </is>
      </c>
      <c r="C17" s="24" t="inlineStr">
        <is>
          <t>Multiple primary signals are not additive -- the strongest one is used; supporting evidence can only nudge the score, never create a finding alone.</t>
        </is>
      </c>
      <c r="D17" s="7" t="inlineStr">
        <is>
          <t>High</t>
        </is>
      </c>
      <c r="E17" s="7" t="inlineStr">
        <is>
          <t>Keep</t>
        </is>
      </c>
      <c r="F17" s="24" t="inlineStr">
        <is>
          <t>No change. This correctly prevents several mediocre signals from outscoring one real duplicate.</t>
        </is>
      </c>
      <c r="G17" s="24" t="inlineStr">
        <is>
          <t>Template Detection §8</t>
        </is>
      </c>
      <c r="H17" s="7" t="inlineStr">
        <is>
          <t>P3</t>
        </is>
      </c>
    </row>
    <row r="18" ht="60" customHeight="1" s="22">
      <c r="A18" s="10" t="inlineStr">
        <is>
          <t>Template Detection (Cross-Author)</t>
        </is>
      </c>
      <c r="B18" s="11" t="inlineStr">
        <is>
          <t>Same-Study / Companion-Study Context Layer</t>
        </is>
      </c>
      <c r="C18" s="11" t="inlineStr">
        <is>
          <t>Deterministic keyword/overlap checks (trial IDs, authors, 'subgroup analysis', 'interim analysis', etc.) explain away legitimate reuse; never increases suspicion.</t>
        </is>
      </c>
      <c r="D18" s="10" t="inlineStr">
        <is>
          <t>Medium</t>
        </is>
      </c>
      <c r="E18" s="10" t="inlineStr">
        <is>
          <t>Enhance</t>
        </is>
      </c>
      <c r="F18" s="11" t="inlineStr">
        <is>
          <t>Will miss paraphrased equivalents ('a further look at the same cohort'). Because a miss here only causes an unnecessary editor review (not a missed integrity signal), this is a lower-severity, good candidate for a lightweight LLM/embedding check.</t>
        </is>
      </c>
      <c r="G18" s="11" t="inlineStr">
        <is>
          <t>Template Detection §9</t>
        </is>
      </c>
      <c r="H18" s="10" t="inlineStr">
        <is>
          <t>P2</t>
        </is>
      </c>
    </row>
    <row r="19" s="22">
      <c r="A19" s="7" t="inlineStr">
        <is>
          <t>Template Detection (Cross-Author)</t>
        </is>
      </c>
      <c r="B19" s="24" t="inlineStr">
        <is>
          <t>Template-Family Graph Clustering</t>
        </is>
      </c>
      <c r="C19" s="24" t="inlineStr">
        <is>
          <t>Template pairs are modeled as graph edges; connected components of ≥3 abstracts can be identified as families -- fully built, explicitly 'not surfaced to editors.'</t>
        </is>
      </c>
      <c r="D19" s="7" t="inlineStr">
        <is>
          <t>Low</t>
        </is>
      </c>
      <c r="E19" s="7" t="inlineStr">
        <is>
          <t>Keep</t>
        </is>
      </c>
      <c r="F19" s="24" t="inlineStr">
        <is>
          <t>Prune-or-ship decision: either add a minimal Template Family view (a 5-abstract family is a much stronger signal than 5 separate pair rows) or delete the code path to stop paying its maintenance cost.</t>
        </is>
      </c>
      <c r="G19" s="24" t="inlineStr">
        <is>
          <t>Template Detection §12</t>
        </is>
      </c>
      <c r="H19" s="7" t="inlineStr">
        <is>
          <t>P1</t>
        </is>
      </c>
      <c r="I19" s="24" t="inlineStr">
        <is>
          <t>Deferred, not shipped or removed — Phase 1 (2026-08-19), by explicit product decision. The data already reaches content_integrity_results.json's template_families array; it still does not reach the Editor Triage Workbook or frontend. Decision: keep the code, do not build a workbook/UI view yet (value to editors unproven), do not delete it either. Documented in family_clustering.py's module docstring so this reads as a deliberate open decision, not abandoned work. Verdict changed from 'Remove' to 'Keep' to reflect that the code is being retained, not pruned; this is not the audit's proposed prune-or-ship resolution.</t>
        </is>
      </c>
    </row>
    <row r="20" ht="60" customHeight="1" s="22">
      <c r="A20" s="10" t="inlineStr">
        <is>
          <t>LLM Response Trace</t>
        </is>
      </c>
      <c r="B20" s="11" t="inlineStr">
        <is>
          <t>Format-Preserving Text Extraction</t>
        </is>
      </c>
      <c r="C20" s="11" t="inlineStr">
        <is>
          <t>Keeps line breaks, headings, Markdown fences, quotes, and User:/Assistant: labels intact, because formatting itself is evidence of copied chat content.</t>
        </is>
      </c>
      <c r="D20" s="10" t="inlineStr">
        <is>
          <t>High</t>
        </is>
      </c>
      <c r="E20" s="10" t="inlineStr">
        <is>
          <t>Keep</t>
        </is>
      </c>
      <c r="F20" s="11" t="inlineStr">
        <is>
          <t>No change needed.</t>
        </is>
      </c>
      <c r="G20" s="11" t="inlineStr">
        <is>
          <t>LLM Response Trace §2</t>
        </is>
      </c>
      <c r="H20" s="10" t="inlineStr">
        <is>
          <t>P3</t>
        </is>
      </c>
    </row>
    <row r="21" ht="60" customHeight="1" s="22">
      <c r="A21" s="7" t="inlineStr">
        <is>
          <t>LLM Response Trace</t>
        </is>
      </c>
      <c r="B21" s="24" t="inlineStr">
        <is>
          <t>Known-Pattern Regex Catalogue (YAML rules)</t>
        </is>
      </c>
      <c r="C21" s="24" t="inlineStr">
        <is>
          <t>Known LLM-residue phrases live in a YAML rule file matched with Python re, separable from code changes.</t>
        </is>
      </c>
      <c r="D21" s="7" t="inlineStr">
        <is>
          <t>Medium</t>
        </is>
      </c>
      <c r="E21" s="7" t="inlineStr">
        <is>
          <t>Keep</t>
        </is>
      </c>
      <c r="F21" s="24" t="inlineStr">
        <is>
          <t>Good practice -- externalized, versionable rules. Recommend the Design Contradiction detector adopt the same YAML pattern (it currently hardcodes its rule table in Python).</t>
        </is>
      </c>
      <c r="G21" s="24" t="inlineStr">
        <is>
          <t>LLM Response Trace §3</t>
        </is>
      </c>
      <c r="H21" s="7" t="inlineStr">
        <is>
          <t>P2</t>
        </is>
      </c>
    </row>
    <row r="22" ht="60" customHeight="1" s="22">
      <c r="A22" s="10" t="inlineStr">
        <is>
          <t>LLM Response Trace</t>
        </is>
      </c>
      <c r="B22" s="11" t="inlineStr">
        <is>
          <t>GPT-OSS Semantic Variant / Novel-Pattern Detection</t>
        </is>
      </c>
      <c r="C22" s="11" t="inlineStr">
        <is>
          <t>GPT-OSS 20B maps unseen wording back to known rule categories or flags a genuinely novel candidate; explicitly does not judge AI authorship by style/polish.</t>
        </is>
      </c>
      <c r="D22" s="10" t="inlineStr">
        <is>
          <t>High</t>
        </is>
      </c>
      <c r="E22" s="10" t="inlineStr">
        <is>
          <t>Keep</t>
        </is>
      </c>
      <c r="F22" s="11" t="inlineStr">
        <is>
          <t>No major change. This is the clearest example in the system of an LLM used for exactly what it's good at (semantic generalization) without overreaching into a judgment it's told not to make.</t>
        </is>
      </c>
      <c r="G22" s="11" t="inlineStr">
        <is>
          <t>LLM Response Trace §4</t>
        </is>
      </c>
      <c r="H22" s="10" t="inlineStr">
        <is>
          <t>P3</t>
        </is>
      </c>
    </row>
    <row r="23" ht="60" customHeight="1" s="22">
      <c r="A23" s="7" t="inlineStr">
        <is>
          <t>LLM Response Trace</t>
        </is>
      </c>
      <c r="B23" s="24" t="inlineStr">
        <is>
          <t>Evidence Verification (LLM phrase must literal-match source exactly once)</t>
        </is>
      </c>
      <c r="C23" s="24" t="inlineStr">
        <is>
          <t>Any phrase GPT-OSS reports is re-searched in the original preserved text; 0 or &gt;1 matches reject the finding, exactly 1 match restores the exact source characters.</t>
        </is>
      </c>
      <c r="D23" s="7" t="inlineStr">
        <is>
          <t>High</t>
        </is>
      </c>
      <c r="E23" s="7" t="inlineStr">
        <is>
          <t>Keep</t>
        </is>
      </c>
      <c r="F23" s="24" t="inlineStr">
        <is>
          <t>Excellent anti-hallucination guardrail. Use this exact pattern as the template for the equivalent check already present in Tortured Phrase discovery (§20) -- keep both aligned as the catalogue evolves.</t>
        </is>
      </c>
      <c r="G23" s="24" t="inlineStr">
        <is>
          <t>LLM Response Trace §5</t>
        </is>
      </c>
      <c r="H23" s="7" t="inlineStr">
        <is>
          <t>P3</t>
        </is>
      </c>
    </row>
    <row r="24" ht="60" customHeight="1" s="22">
      <c r="A24" s="10" t="inlineStr">
        <is>
          <t>LLM Response Trace</t>
        </is>
      </c>
      <c r="B24" s="11" t="inlineStr">
        <is>
          <t>Regex/Semantic Merge &amp; Dedup by Source Position</t>
        </is>
      </c>
      <c r="C24" s="11" t="inlineStr">
        <is>
          <t>Overlapping regex and LLM findings are deduplicated; deterministic regex match is preferred over semantic variant, which is preferred over novel candidate.</t>
        </is>
      </c>
      <c r="D24" s="10" t="inlineStr">
        <is>
          <t>High</t>
        </is>
      </c>
      <c r="E24" s="10" t="inlineStr">
        <is>
          <t>Keep</t>
        </is>
      </c>
      <c r="F24" s="11" t="inlineStr">
        <is>
          <t>No change needed.</t>
        </is>
      </c>
      <c r="G24" s="11" t="inlineStr">
        <is>
          <t>LLM Response Trace §6</t>
        </is>
      </c>
      <c r="H24" s="10" t="inlineStr">
        <is>
          <t>P3</t>
        </is>
      </c>
    </row>
    <row r="25" ht="60" customHeight="1" s="22">
      <c r="A25" s="7" t="inlineStr">
        <is>
          <t>LLM Response Trace</t>
        </is>
      </c>
      <c r="B25" s="24" t="inlineStr">
        <is>
          <t>Context Extraction (quote / blockquote / code-block detection)</t>
        </is>
      </c>
      <c r="C25" s="24" t="inlineStr">
        <is>
          <t>Deterministic Python regex/string rules extract the surrounding sentence and detect whether a match sits inside quoted or fenced text.</t>
        </is>
      </c>
      <c r="D25" s="7" t="inlineStr">
        <is>
          <t>Medium</t>
        </is>
      </c>
      <c r="E25" s="7" t="inlineStr">
        <is>
          <t>Enhance</t>
        </is>
      </c>
      <c r="F25" s="24" t="inlineStr">
        <is>
          <t>Brittle against smart/curly quotes, nested quotes, or quotes spanning multiple sentences. Normalize Unicode quote characters before detection.</t>
        </is>
      </c>
      <c r="G25" s="24" t="inlineStr">
        <is>
          <t>LLM Response Trace §7</t>
        </is>
      </c>
      <c r="H25" s="7" t="inlineStr">
        <is>
          <t>P2</t>
        </is>
      </c>
    </row>
    <row r="26" ht="60" customHeight="1" s="22">
      <c r="A26" s="10" t="inlineStr">
        <is>
          <t>LLM Response Trace</t>
        </is>
      </c>
      <c r="B26" s="11" t="inlineStr">
        <is>
          <t>GPT-OSS Contextual Validation (confirmed/rejected/uncertain)</t>
        </is>
      </c>
      <c r="C26" s="11" t="inlineStr">
        <is>
          <t>Runs for every context-sensitive finding; a small set of very explicit rules are marked 'not_required' and skip a second model call.</t>
        </is>
      </c>
      <c r="D26" s="10" t="inlineStr">
        <is>
          <t>High</t>
        </is>
      </c>
      <c r="E26" s="10" t="inlineStr">
        <is>
          <t>Keep</t>
        </is>
      </c>
      <c r="F26" s="11" t="inlineStr">
        <is>
          <t>No change needed -- correctly gates the surfaced result, unlike the equivalent step in Design Contradiction (see that pipeline's audit).</t>
        </is>
      </c>
      <c r="G26" s="11" t="inlineStr">
        <is>
          <t>LLM Response Trace §8</t>
        </is>
      </c>
      <c r="H26" s="10" t="inlineStr">
        <is>
          <t>P3</t>
        </is>
      </c>
    </row>
    <row r="27" ht="60" customHeight="1" s="22">
      <c r="A27" s="7" t="inlineStr">
        <is>
          <t>LLM Response Trace</t>
        </is>
      </c>
      <c r="B27" s="24" t="inlineStr">
        <is>
          <t>Rule-Based Review Priority (no probability score, no ML weighting)</t>
        </is>
      </c>
      <c r="C27" s="24" t="inlineStr">
        <is>
          <t>Priority (High/Medium/Low/none) comes from an explicit lookup table of evidence type, not a trained or weighted model.</t>
        </is>
      </c>
      <c r="D27" s="7" t="inlineStr">
        <is>
          <t>High</t>
        </is>
      </c>
      <c r="E27" s="7" t="inlineStr">
        <is>
          <t>Keep</t>
        </is>
      </c>
      <c r="F27" s="24" t="inlineStr">
        <is>
          <t>Appropriately explainable for an editorial-trust context; no change needed.</t>
        </is>
      </c>
      <c r="G27" s="24" t="inlineStr">
        <is>
          <t>LLM Response Trace §9</t>
        </is>
      </c>
      <c r="H27" s="7" t="inlineStr">
        <is>
          <t>P3</t>
        </is>
      </c>
    </row>
    <row r="28" ht="60" customHeight="1" s="22">
      <c r="A28" s="10" t="inlineStr">
        <is>
          <t>Tortured Phrase Detection</t>
        </is>
      </c>
      <c r="B28" s="11" t="inlineStr">
        <is>
          <t>Dictionary Loader + Token/Bigram Candidate Index</t>
        </is>
      </c>
      <c r="C28" s="11" t="inlineStr">
        <is>
          <t>Tortured-phrase CSV is indexed by first one-to-two tokens for fast candidate lookup before the real regex match runs.</t>
        </is>
      </c>
      <c r="D28" s="10" t="inlineStr">
        <is>
          <t>High</t>
        </is>
      </c>
      <c r="E28" s="10" t="inlineStr">
        <is>
          <t>Keep</t>
        </is>
      </c>
      <c r="F28" s="11" t="inlineStr">
        <is>
          <t>No change needed -- correctly scoped as a retrieval filter only, not the match itself.</t>
        </is>
      </c>
      <c r="G28" s="11" t="inlineStr">
        <is>
          <t>Tortured Phrase §5.1</t>
        </is>
      </c>
      <c r="H28" s="10" t="inlineStr">
        <is>
          <t>P3</t>
        </is>
      </c>
    </row>
    <row r="29" ht="60" customHeight="1" s="22">
      <c r="A29" s="7" t="inlineStr">
        <is>
          <t>Tortured Phrase Detection</t>
        </is>
      </c>
      <c r="B29" s="24" t="inlineStr">
        <is>
          <t>Regex Phrase Matcher (incl. wildcard prefix, punctuation tolerance, word-boundary guards)</t>
        </is>
      </c>
      <c r="C29" s="24" t="inlineStr">
        <is>
          <t>Full regex match after candidate retrieval; tolerates punctuation/whitespace variants, blocks cross-sentence matches, supports `mechan*`-style prefix wildcards.</t>
        </is>
      </c>
      <c r="D29" s="7" t="inlineStr">
        <is>
          <t>Medium</t>
        </is>
      </c>
      <c r="E29" s="7" t="inlineStr">
        <is>
          <t>Enhance</t>
        </is>
      </c>
      <c r="F29" s="24" t="inlineStr">
        <is>
          <t>Solid overall, but the dictionary's `~5` proximity operator is parsed and then silently discarded rather than enforced or rejected -- fix or fail loudly at rule-load time.</t>
        </is>
      </c>
      <c r="G29" s="24" t="inlineStr">
        <is>
          <t>Tortured Phrase §6-8, §10</t>
        </is>
      </c>
      <c r="H29" s="7" t="inlineStr">
        <is>
          <t>P0</t>
        </is>
      </c>
    </row>
    <row r="30" ht="60" customHeight="1" s="22">
      <c r="A30" s="10" t="inlineStr">
        <is>
          <t>Tortured Phrase Detection</t>
        </is>
      </c>
      <c r="B30" s="11" t="inlineStr">
        <is>
          <t>AND / OR / NOT Context Conditions</t>
        </is>
      </c>
      <c r="C30" s="11" t="inlineStr">
        <is>
          <t>Regex-based presence/absence checks let a dictionary rule require or exclude nearby context words.</t>
        </is>
      </c>
      <c r="D30" s="10" t="inlineStr">
        <is>
          <t>High</t>
        </is>
      </c>
      <c r="E30" s="10" t="inlineStr">
        <is>
          <t>Keep</t>
        </is>
      </c>
      <c r="F30" s="11" t="inlineStr">
        <is>
          <t>No change needed.</t>
        </is>
      </c>
      <c r="G30" s="11" t="inlineStr">
        <is>
          <t>Tortured Phrase §9</t>
        </is>
      </c>
      <c r="H30" s="10" t="inlineStr">
        <is>
          <t>P3</t>
        </is>
      </c>
    </row>
    <row r="31" ht="60" customHeight="1" s="22">
      <c r="A31" s="7" t="inlineStr">
        <is>
          <t>Tortured Phrase Detection</t>
        </is>
      </c>
      <c r="B31" s="24" t="inlineStr">
        <is>
          <t>Mandatory GPT-OSS Validation (temperature=0) for Known-Phrase Candidates</t>
        </is>
      </c>
      <c r="C31" s="24" t="inlineStr">
        <is>
          <t>Every deterministic tortured-phrase match is validated by GPT-OSS with matched phrase, expected term, and surrounding context before it becomes a finding.</t>
        </is>
      </c>
      <c r="D31" s="7" t="inlineStr">
        <is>
          <t>High</t>
        </is>
      </c>
      <c r="E31" s="7" t="inlineStr">
        <is>
          <t>Keep</t>
        </is>
      </c>
      <c r="F31" s="24" t="inlineStr">
        <is>
          <t>No change needed. Correctly gates the result, matching LLM Response Trace's pattern.</t>
        </is>
      </c>
      <c r="G31" s="24" t="inlineStr">
        <is>
          <t>Tortured Phrase §13</t>
        </is>
      </c>
      <c r="H31" s="7" t="inlineStr">
        <is>
          <t>P3</t>
        </is>
      </c>
    </row>
    <row r="32" ht="60" customHeight="1" s="22">
      <c r="A32" s="10" t="inlineStr">
        <is>
          <t>Tortured Phrase Detection</t>
        </is>
      </c>
      <c r="B32" s="11" t="inlineStr">
        <is>
          <t>New-Phrase Discovery Pre-Filter (length + gene/drug regex gate)</t>
        </is>
      </c>
      <c r="C32" s="11" t="inlineStr">
        <is>
          <t>A sentence is only sent to GPT-OSS for new-phrase discovery if it also matches a gene-style or drug-suffix regex, among other checks.</t>
        </is>
      </c>
      <c r="D32" s="10" t="inlineStr">
        <is>
          <t>Medium</t>
        </is>
      </c>
      <c r="E32" s="10" t="inlineStr">
        <is>
          <t>Enhance</t>
        </is>
      </c>
      <c r="F32" s="11" t="inlineStr">
        <is>
          <t>This systematically excludes distorted statistical/methodological wording that has no nearby gene/drug token. Loosen the gate or add a second, non-biomedical-anchored path.</t>
        </is>
      </c>
      <c r="G32" s="11" t="inlineStr">
        <is>
          <t>Tortured Phrase §17</t>
        </is>
      </c>
      <c r="H32" s="10" t="inlineStr">
        <is>
          <t>P2</t>
        </is>
      </c>
    </row>
    <row r="33" ht="60" customHeight="1" s="22">
      <c r="A33" s="7" t="inlineStr">
        <is>
          <t>Tortured Phrase Detection</t>
        </is>
      </c>
      <c r="B33" s="24" t="inlineStr">
        <is>
          <t>Fixed New-Phrase Confidence Mapping (low/med/high → 0.55/0.72/0.88)</t>
        </is>
      </c>
      <c r="C33" s="24" t="inlineStr">
        <is>
          <t>GPT-OSS's qualitative confidence is mapped to three fixed numeric values; not calibrated probabilities.</t>
        </is>
      </c>
      <c r="D33" s="7" t="inlineStr">
        <is>
          <t>Medium</t>
        </is>
      </c>
      <c r="E33" s="7" t="inlineStr">
        <is>
          <t>Enhance</t>
        </is>
      </c>
      <c r="F33" s="24" t="inlineStr">
        <is>
          <t>Reasonable placeholder; once enough editor accept/reject history exists, recalibrate these three buckets empirically rather than leaving them as guesses.</t>
        </is>
      </c>
      <c r="G33" s="24" t="inlineStr">
        <is>
          <t>Tortured Phrase §21</t>
        </is>
      </c>
      <c r="H33" s="7" t="inlineStr">
        <is>
          <t>P2</t>
        </is>
      </c>
    </row>
    <row r="34" ht="60" customHeight="1" s="22">
      <c r="A34" s="10" t="inlineStr">
        <is>
          <t>Tortured Phrase Detection</t>
        </is>
      </c>
      <c r="B34" s="11" t="inlineStr">
        <is>
          <t>Discovered-Phrase Evidence Verification (normalized substring check)</t>
        </is>
      </c>
      <c r="C34" s="11" t="inlineStr">
        <is>
          <t>A GPT-OSS-suggested new phrase must literally occur (after normalization) in the source sentence or the candidate is discarded.</t>
        </is>
      </c>
      <c r="D34" s="10" t="inlineStr">
        <is>
          <t>High</t>
        </is>
      </c>
      <c r="E34" s="10" t="inlineStr">
        <is>
          <t>Keep</t>
        </is>
      </c>
      <c r="F34" s="11" t="inlineStr">
        <is>
          <t>No change needed -- same good anti-hallucination discipline as LLM Response Trace.</t>
        </is>
      </c>
      <c r="G34" s="11" t="inlineStr">
        <is>
          <t>Tortured Phrase §20</t>
        </is>
      </c>
      <c r="H34" s="10" t="inlineStr">
        <is>
          <t>P3</t>
        </is>
      </c>
    </row>
    <row r="35" ht="60" customHeight="1" s="22">
      <c r="A35" s="7" t="inlineStr">
        <is>
          <t>Numerical Contradiction</t>
        </is>
      </c>
      <c r="B35" s="24" t="inlineStr">
        <is>
          <t>Numerical Claim Extraction Regex Suite (counts, percentages, medians/ranges, exclusive subgroups)</t>
        </is>
      </c>
      <c r="C35" s="24" t="inlineStr">
        <is>
          <t>Regex extracts structured NumericalClaim objects for n/N, percentages, median±range, and explicitly-flagged mutually-exclusive subgroup sums.</t>
        </is>
      </c>
      <c r="D35" s="7" t="inlineStr">
        <is>
          <t>Medium</t>
        </is>
      </c>
      <c r="E35" s="7" t="inlineStr">
        <is>
          <t>Enhance</t>
        </is>
      </c>
      <c r="F35" s="24" t="inlineStr">
        <is>
          <t>Solid extraction, but by design it is sentence-local only (see next row) -- the extraction layer itself is fine and doesn't need rework.</t>
        </is>
      </c>
      <c r="G35" s="24" t="inlineStr">
        <is>
          <t>Numerical §3-4</t>
        </is>
      </c>
      <c r="H35" s="7" t="inlineStr">
        <is>
          <t>P2</t>
        </is>
      </c>
    </row>
    <row r="36" ht="60" customHeight="1" s="22">
      <c r="A36" s="10" t="inlineStr">
        <is>
          <t>Numerical Contradiction</t>
        </is>
      </c>
      <c r="B36" s="11" t="inlineStr">
        <is>
          <t>Sentence-Local-Only Scope (no cross-sentence linking)</t>
        </is>
      </c>
      <c r="C36" s="11" t="inlineStr">
        <is>
          <t>Explicitly does not connect a population stated in one sentence to a percentage/count stated in a later sentence.</t>
        </is>
      </c>
      <c r="D36" s="10" t="inlineStr">
        <is>
          <t>Low</t>
        </is>
      </c>
      <c r="E36" s="10" t="inlineStr">
        <is>
          <t>Enhance</t>
        </is>
      </c>
      <c r="F36" s="11" t="inlineStr">
        <is>
          <t>This is the detector's biggest real-world recall gap: 'N=120 enrolled. ... response rate was 45% (58/110)' is invisible today. Add a lightweight 'most recently stated N' carry-forward pass.</t>
        </is>
      </c>
      <c r="G36" s="11" t="inlineStr">
        <is>
          <t>Numerical §2, §9</t>
        </is>
      </c>
      <c r="H36" s="10" t="inlineStr">
        <is>
          <t>P0</t>
        </is>
      </c>
    </row>
    <row r="37" ht="60" customHeight="1" s="22">
      <c r="A37" s="7" t="inlineStr">
        <is>
          <t>Numerical Contradiction</t>
        </is>
      </c>
      <c r="B37" s="24" t="inlineStr">
        <is>
          <t>Arithmetic / Boundary Rule Engine (mismatch, exceeds-N, impossible %, median-outside-range, reversed interval, exclusive-group overrun)</t>
        </is>
      </c>
      <c r="C37" s="24" t="inlineStr">
        <is>
          <t>Six explicit deterministic rules with fixed thresholds (e.g. 1.0 percentage-point tolerance) directly test extracted claims.</t>
        </is>
      </c>
      <c r="D37" s="7" t="inlineStr">
        <is>
          <t>High</t>
        </is>
      </c>
      <c r="E37" s="7" t="inlineStr">
        <is>
          <t>Keep</t>
        </is>
      </c>
      <c r="F37" s="24" t="inlineStr">
        <is>
          <t>Sound and appropriately conservative. No change needed beyond moving the tolerance constant into shared config (see P2 row).</t>
        </is>
      </c>
      <c r="G37" s="24" t="inlineStr">
        <is>
          <t>Numerical §5</t>
        </is>
      </c>
      <c r="H37" s="7" t="inlineStr">
        <is>
          <t>P3</t>
        </is>
      </c>
    </row>
    <row r="38" ht="60" customHeight="1" s="22">
      <c r="A38" s="10" t="inlineStr">
        <is>
          <t>Numerical Contradiction</t>
        </is>
      </c>
      <c r="B38" s="11" t="inlineStr">
        <is>
          <t>One-Per-Person vs Repeatable-Event Keyword Guard</t>
        </is>
      </c>
      <c r="C38" s="11" t="inlineStr">
        <is>
          <t>Keyword rules distinguish one-per-person outcomes (responders, deaths) from repeatable events (adverse events, hospitalisations) before flagging 'count exceeds population.'</t>
        </is>
      </c>
      <c r="D38" s="10" t="inlineStr">
        <is>
          <t>Medium</t>
        </is>
      </c>
      <c r="E38" s="10" t="inlineStr">
        <is>
          <t>Enhance</t>
        </is>
      </c>
      <c r="F38" s="11" t="inlineStr">
        <is>
          <t>Keyword lists are inherently incomplete; a miss here only produces a false positive (not a missed integrity issue), so this is low-urgency but worth periodic vocabulary review.</t>
        </is>
      </c>
      <c r="G38" s="11" t="inlineStr">
        <is>
          <t>Numerical §6</t>
        </is>
      </c>
      <c r="H38" s="10" t="inlineStr">
        <is>
          <t>P2</t>
        </is>
      </c>
    </row>
    <row r="39" ht="60" customHeight="1" s="22">
      <c r="A39" s="7" t="inlineStr">
        <is>
          <t>Numerical Contradiction</t>
        </is>
      </c>
      <c r="B39" s="24" t="inlineStr">
        <is>
          <t>Relative-Percentage Guard (&gt;100% is not automatically impossible)</t>
        </is>
      </c>
      <c r="C39" s="24" t="inlineStr">
        <is>
          <t>Nearby text is checked for relative-change language (increase, reduction, dose intensity) before a &gt;100% value is treated as an impossible absolute rate.</t>
        </is>
      </c>
      <c r="D39" s="7" t="inlineStr">
        <is>
          <t>High</t>
        </is>
      </c>
      <c r="E39" s="7" t="inlineStr">
        <is>
          <t>Keep</t>
        </is>
      </c>
      <c r="F39" s="24" t="inlineStr">
        <is>
          <t>No change needed -- a genuinely good false-positive guard.</t>
        </is>
      </c>
      <c r="G39" s="24" t="inlineStr">
        <is>
          <t>Numerical §6</t>
        </is>
      </c>
      <c r="H39" s="7" t="inlineStr">
        <is>
          <t>P3</t>
        </is>
      </c>
    </row>
    <row r="40" ht="60" customHeight="1" s="22">
      <c r="A40" s="10" t="inlineStr">
        <is>
          <t>Design Contradiction</t>
        </is>
      </c>
      <c r="B40" s="11" t="inlineStr">
        <is>
          <t>Design-Attribute Regex Extraction (time_direction, allocation, masking, phase, etc.)</t>
        </is>
      </c>
      <c r="C40" s="11" t="inlineStr">
        <is>
          <t>Fixed collection of case-insensitive regexes assigns normalized design attributes/values from title and abstract sections.</t>
        </is>
      </c>
      <c r="D40" s="10" t="inlineStr">
        <is>
          <t>Medium</t>
        </is>
      </c>
      <c r="E40" s="10" t="inlineStr">
        <is>
          <t>Enhance</t>
        </is>
      </c>
      <c r="F40" s="11" t="inlineStr">
        <is>
          <t>The rule table is hardcoded in Python, unlike Tortured Phrase (CSV) and LLM Trace (YAML). Externalize it to the same versioned-file convention for consistency and non-engineer editability.</t>
        </is>
      </c>
      <c r="G40" s="11" t="inlineStr">
        <is>
          <t>Numerical/Design/Trial §11</t>
        </is>
      </c>
      <c r="H40" s="10" t="inlineStr">
        <is>
          <t>P2</t>
        </is>
      </c>
    </row>
    <row r="41" ht="60" customHeight="1" s="22">
      <c r="A41" s="7" t="inlineStr">
        <is>
          <t>Design Contradiction</t>
        </is>
      </c>
      <c r="B41" s="24" t="inlineStr">
        <is>
          <t>Future-Work Statement Guard</t>
        </is>
      </c>
      <c r="C41" s="24" t="inlineStr">
        <is>
          <t>Prospective/randomized/blinded phrases are ignored when the sentence is clearly describing proposed or future work ('future prospective trials are required').</t>
        </is>
      </c>
      <c r="D41" s="7" t="inlineStr">
        <is>
          <t>High</t>
        </is>
      </c>
      <c r="E41" s="7" t="inlineStr">
        <is>
          <t>Keep</t>
        </is>
      </c>
      <c r="F41" s="24" t="inlineStr">
        <is>
          <t>Well-reasoned guard; no change needed.</t>
        </is>
      </c>
      <c r="G41" s="24" t="inlineStr">
        <is>
          <t>Numerical/Design/Trial §12</t>
        </is>
      </c>
      <c r="H41" s="7" t="inlineStr">
        <is>
          <t>P3</t>
        </is>
      </c>
    </row>
    <row r="42" ht="60" customHeight="1" s="22">
      <c r="A42" s="10" t="inlineStr">
        <is>
          <t>Design Contradiction</t>
        </is>
      </c>
      <c r="B42" s="11" t="inlineStr">
        <is>
          <t>`nonrandomized` Substring-Overlap Guard</t>
        </is>
      </c>
      <c r="C42" s="11" t="inlineStr">
        <is>
          <t>A `randomized` regex hit that overlaps a recorded 'nonrandomized'/'not randomized' span is discarded, preventing a false randomized claim inside a negated phrase.</t>
        </is>
      </c>
      <c r="D42" s="10" t="inlineStr">
        <is>
          <t>High</t>
        </is>
      </c>
      <c r="E42" s="10" t="inlineStr">
        <is>
          <t>Keep</t>
        </is>
      </c>
      <c r="F42" s="11" t="inlineStr">
        <is>
          <t>Good, specific fix for a real regex pitfall; no change needed.</t>
        </is>
      </c>
      <c r="G42" s="11" t="inlineStr">
        <is>
          <t>Numerical/Design/Trial §12</t>
        </is>
      </c>
      <c r="H42" s="10" t="inlineStr">
        <is>
          <t>P3</t>
        </is>
      </c>
    </row>
    <row r="43" ht="60" customHeight="1" s="22">
      <c r="A43" s="7" t="inlineStr">
        <is>
          <t>Design Contradiction</t>
        </is>
      </c>
      <c r="B43" s="24" t="inlineStr">
        <is>
          <t>Pairwise Contradiction Rule Table (fixed ~9 incompatible-value pairs via itertools.combinations)</t>
        </is>
      </c>
      <c r="C43" s="24" t="inlineStr">
        <is>
          <t>Every pair of extracted claims within a record is tested against a closed table of incompatible design-value pairs.</t>
        </is>
      </c>
      <c r="D43" s="7" t="inlineStr">
        <is>
          <t>Medium</t>
        </is>
      </c>
      <c r="E43" s="7" t="inlineStr">
        <is>
          <t>Enhance</t>
        </is>
      </c>
      <c r="F43" s="24" t="inlineStr">
        <is>
          <t>Combinatorics are not a scale risk here (few claims per abstract). The risk is a closed rule list: new contradiction types require a code change, not a data change.</t>
        </is>
      </c>
      <c r="G43" s="24" t="inlineStr">
        <is>
          <t>Numerical/Design/Trial §13</t>
        </is>
      </c>
      <c r="H43" s="7" t="inlineStr">
        <is>
          <t>P2</t>
        </is>
      </c>
    </row>
    <row r="44" ht="60" customHeight="1" s="22">
      <c r="A44" s="10" t="inlineStr">
        <is>
          <t>Design Contradiction</t>
        </is>
      </c>
      <c r="B44" s="11" t="inlineStr">
        <is>
          <t>Study-Component Matching (nearest-text-marker heuristic)</t>
        </is>
      </c>
      <c r="C44" s="11" t="inlineStr">
        <is>
          <t>Each claim is attributed to the nearest deterministic component marker (e.g. 'subgroup analysis', 'extension phase') by raw character distance.</t>
        </is>
      </c>
      <c r="D44" s="10" t="inlineStr">
        <is>
          <t>Medium</t>
        </is>
      </c>
      <c r="E44" s="10" t="inlineStr">
        <is>
          <t>Enhance</t>
        </is>
      </c>
      <c r="F44" s="11" t="inlineStr">
        <is>
          <t>Proximity-by-character-distance can misattribute components in long or multi-paragraph abstracts. Constrain by sentence/section boundary instead of raw distance.</t>
        </is>
      </c>
      <c r="G44" s="11" t="inlineStr">
        <is>
          <t>Numerical/Design/Trial §14</t>
        </is>
      </c>
      <c r="H44" s="10" t="inlineStr">
        <is>
          <t>P2</t>
        </is>
      </c>
    </row>
    <row r="45" ht="60" customHeight="1" s="22">
      <c r="A45" s="7" t="inlineStr">
        <is>
          <t>Design Contradiction</t>
        </is>
      </c>
      <c r="B45" s="24" t="inlineStr">
        <is>
          <t>Legitimate-Mixed-Design Exception List (10+ named patterns)</t>
        </is>
      </c>
      <c r="C45" s="24" t="inlineStr">
        <is>
          <t>Specific, named exceptions (retrospective analysis of an RCT, open-label extension after blinded period, phase II/III seamless design, etc.) suppress known-legitimate contradictions.</t>
        </is>
      </c>
      <c r="D45" s="7" t="inlineStr">
        <is>
          <t>Medium</t>
        </is>
      </c>
      <c r="E45" s="7" t="inlineStr">
        <is>
          <t>Enhance</t>
        </is>
      </c>
      <c r="F45" s="24" t="inlineStr">
        <is>
          <t>Reasonable for V1; same closed-list drift risk as the rule table above. Establish a periodic review cadence as new legitimate design patterns are encountered.</t>
        </is>
      </c>
      <c r="G45" s="24" t="inlineStr">
        <is>
          <t>Numerical/Design/Trial §14</t>
        </is>
      </c>
      <c r="H45" s="7" t="inlineStr">
        <is>
          <t>P2</t>
        </is>
      </c>
    </row>
    <row r="46" ht="60" customHeight="1" s="22">
      <c r="A46" s="10" t="inlineStr">
        <is>
          <t>Design Contradiction</t>
        </is>
      </c>
      <c r="B46" s="11" t="inlineStr">
        <is>
          <t>Optional GPT-OSS Design Validation -- NON-GATING</t>
        </is>
      </c>
      <c r="C46" s="11" t="inlineStr">
        <is>
          <t>When enabled, GPT-OSS annotates a deterministic finding with confirmed/rejected/uncertain, but a `rejected` result does NOT remove or deactivate the finding -- it stays check_triggered=True.</t>
        </is>
      </c>
      <c r="D46" s="10" t="inlineStr">
        <is>
          <t>Low</t>
        </is>
      </c>
      <c r="E46" s="10" t="inlineStr">
        <is>
          <t>Enhance</t>
        </is>
      </c>
      <c r="F46" s="11" t="inlineStr">
        <is>
          <t>Highest-priority fix in this audit: gate the flag on validation_status exactly as Tortured Phrase and LLM Response Trace already do, so behavior -- and editor trust -- is consistent across all three LLM-validated checks.</t>
        </is>
      </c>
      <c r="G46" s="11" t="inlineStr">
        <is>
          <t>Numerical/Design/Trial §15, §29</t>
        </is>
      </c>
      <c r="H46" s="10" t="inlineStr">
        <is>
          <t>P0</t>
        </is>
      </c>
    </row>
    <row r="47" s="22">
      <c r="A47" s="7" t="inlineStr">
        <is>
          <t>Unverifiable Clinical Trial</t>
        </is>
      </c>
      <c r="B47" s="24" t="inlineStr">
        <is>
          <t>Registry-ID / Registration-Phrase Regex Extraction</t>
        </is>
      </c>
      <c r="C47" s="24" t="inlineStr">
        <is>
          <t>Deliberately permissive regexes extract NCT/ISRCTN/ACTRN/EUCTR/EudraCT/ChiCTR references plus placeholder ('pending', 'TBD') and no-ID registration claims.</t>
        </is>
      </c>
      <c r="D47" s="7" t="inlineStr">
        <is>
          <t>Medium</t>
        </is>
      </c>
      <c r="E47" s="7" t="inlineStr">
        <is>
          <t>Enhance</t>
        </is>
      </c>
      <c r="F47" s="24" t="inlineStr">
        <is>
          <t>Supported-registry list omits several registries in active global use (India's CTRI, Germany's DRKS, Japan's jRCT, Iran's IRCT). For an internationally-submitted corpus this is a real, if low-severity, coverage gap.</t>
        </is>
      </c>
      <c r="G47" s="24" t="inlineStr">
        <is>
          <t>Numerical/Design/Trial §19</t>
        </is>
      </c>
      <c r="H47" s="7" t="inlineStr">
        <is>
          <t>P2</t>
        </is>
      </c>
      <c r="I47" s="24" t="inlineStr">
        <is>
          <t>Groundwork only — Phase 1 (2026-08-19). The registry-prefix list was found hardcoded 4 separate times (not the vocabulary triplication the audit's OE-08 originally described elsewhere — that claim didn't hold). Consolidated to one SUPPORTED_REGISTRY_PREFIXES tuple in template_matching_common.py so a future registry addition is a one-line change. The actual coverage gap named in this row (CTRI, DRKS, jRCT, IRCT, WHO ICTRP still unsupported) is UNCHANGED — that expansion remains Phase 3 and this row's Verdict/Viability are intentionally left as-is.</t>
        </is>
      </c>
    </row>
    <row r="48" ht="60" customHeight="1" s="22">
      <c r="A48" s="10" t="inlineStr">
        <is>
          <t>Unverifiable Clinical Trial</t>
        </is>
      </c>
      <c r="B48" s="11" t="inlineStr">
        <is>
          <t>Per-Registry Format Validators (full-match regex incl. digit-count rules)</t>
        </is>
      </c>
      <c r="C48" s="11" t="inlineStr">
        <is>
          <t>Full regex-match validation per registry (e.g. NCT + exactly 8 digits; ACTRN + 14 digits), with normalization of spaces/dashes/underscores for NCT IDs.</t>
        </is>
      </c>
      <c r="D48" s="10" t="inlineStr">
        <is>
          <t>High</t>
        </is>
      </c>
      <c r="E48" s="10" t="inlineStr">
        <is>
          <t>Keep</t>
        </is>
      </c>
      <c r="F48" s="11" t="inlineStr">
        <is>
          <t>No change needed.</t>
        </is>
      </c>
      <c r="G48" s="11" t="inlineStr">
        <is>
          <t>Numerical/Design/Trial §20</t>
        </is>
      </c>
      <c r="H48" s="10" t="inlineStr">
        <is>
          <t>P3</t>
        </is>
      </c>
    </row>
    <row r="49" ht="60" customHeight="1" s="22">
      <c r="A49" s="7" t="inlineStr">
        <is>
          <t>Unverifiable Clinical Trial</t>
        </is>
      </c>
      <c r="B49" s="24" t="inlineStr">
        <is>
          <t>Local Classification (placeholder / no-ID / malformed / unsupported registry)</t>
        </is>
      </c>
      <c r="C49" s="24" t="inlineStr">
        <is>
          <t>Claims that don't need a network call are classified deterministically without ever reaching the registry adapter.</t>
        </is>
      </c>
      <c r="D49" s="7" t="inlineStr">
        <is>
          <t>High</t>
        </is>
      </c>
      <c r="E49" s="7" t="inlineStr">
        <is>
          <t>Keep</t>
        </is>
      </c>
      <c r="F49" s="24" t="inlineStr">
        <is>
          <t>No change needed -- correct separation of concerns between local classification and authoritative lookup.</t>
        </is>
      </c>
      <c r="G49" s="24" t="inlineStr">
        <is>
          <t>Numerical/Design/Trial §21</t>
        </is>
      </c>
      <c r="H49" s="7" t="inlineStr">
        <is>
          <t>P3</t>
        </is>
      </c>
    </row>
    <row r="50" ht="60" customHeight="1" s="22">
      <c r="A50" s="10" t="inlineStr">
        <is>
          <t>Unverifiable Clinical Trial</t>
        </is>
      </c>
      <c r="B50" s="11" t="inlineStr">
        <is>
          <t>ClinicalTrials.gov API v2 Adapter (urllib, 10s timeout, 2 retries, exponential backoff, 429/5xx retryable)</t>
        </is>
      </c>
      <c r="C50" s="11" t="inlineStr">
        <is>
          <t>Hand-rolled urllib.request client with explicit timeout/retry/backoff and correct treatment of HTTP 404 as authoritative not_found rather than an error.</t>
        </is>
      </c>
      <c r="D50" s="10" t="inlineStr">
        <is>
          <t>High</t>
        </is>
      </c>
      <c r="E50" s="10" t="inlineStr">
        <is>
          <t>Keep</t>
        </is>
      </c>
      <c r="F50" s="11" t="inlineStr">
        <is>
          <t>Best-engineered external dependency in the codebase -- use as the template for bringing GPT-OSS call sites up to the same standard (see P2 LLM orchestration row).</t>
        </is>
      </c>
      <c r="G50" s="11" t="inlineStr">
        <is>
          <t>Numerical/Design/Trial §22</t>
        </is>
      </c>
      <c r="H50" s="10" t="inlineStr">
        <is>
          <t>P3</t>
        </is>
      </c>
    </row>
    <row r="51" ht="60" customHeight="1" s="22">
      <c r="A51" s="7" t="inlineStr">
        <is>
          <t>Unverifiable Clinical Trial</t>
        </is>
      </c>
      <c r="B51" s="24" t="inlineStr">
        <is>
          <t>Registry-Result Self-Consistency Validation</t>
        </is>
      </c>
      <c r="C51" s="24" t="inlineStr">
        <is>
          <t>Returned adapter objects are checked for registry-name match, ID match, found/verified consistency, and correct external-ID echoing before being trusted.</t>
        </is>
      </c>
      <c r="D51" s="7" t="inlineStr">
        <is>
          <t>High</t>
        </is>
      </c>
      <c r="E51" s="7" t="inlineStr">
        <is>
          <t>Keep</t>
        </is>
      </c>
      <c r="F51" s="24" t="inlineStr">
        <is>
          <t>Excellent defensive check against a malformed or mismatched adapter response; no change needed.</t>
        </is>
      </c>
      <c r="G51" s="24" t="inlineStr">
        <is>
          <t>Numerical/Design/Trial §23</t>
        </is>
      </c>
      <c r="H51" s="7" t="inlineStr">
        <is>
          <t>P3</t>
        </is>
      </c>
    </row>
    <row r="52" ht="60" customHeight="1" s="22">
      <c r="A52" s="10" t="inlineStr">
        <is>
          <t>Unverifiable Clinical Trial</t>
        </is>
      </c>
      <c r="B52" s="11" t="inlineStr">
        <is>
          <t>Verified/Not-Found Cache (atomic os.replace, offline_cache_only mode)</t>
        </is>
      </c>
      <c r="C52" s="11" t="inlineStr">
        <is>
          <t>Only `verified` and `not_found` are cached; writes are atomic; disabling live verification still allows previously-cached authoritative results to be used.</t>
        </is>
      </c>
      <c r="D52" s="10" t="inlineStr">
        <is>
          <t>High</t>
        </is>
      </c>
      <c r="E52" s="10" t="inlineStr">
        <is>
          <t>Keep</t>
        </is>
      </c>
      <c r="F52" s="11" t="inlineStr">
        <is>
          <t>No change needed -- well-designed cache semantics with a sensible offline fallback.</t>
        </is>
      </c>
      <c r="G52" s="11" t="inlineStr">
        <is>
          <t>Numerical/Design/Trial §24</t>
        </is>
      </c>
      <c r="H52" s="10" t="inlineStr">
        <is>
          <t>P3</t>
        </is>
      </c>
    </row>
    <row r="53" ht="60" customHeight="1" s="22">
      <c r="A53" s="7" t="inlineStr">
        <is>
          <t>Unverifiable Clinical Trial</t>
        </is>
      </c>
      <c r="B53" s="24" t="inlineStr">
        <is>
          <t>`urllib.request` as the HTTP Layer</t>
        </is>
      </c>
      <c r="C53" s="24" t="inlineStr">
        <is>
          <t>Standard-library urllib is used directly rather than a session-based HTTP client.</t>
        </is>
      </c>
      <c r="D53" s="7" t="inlineStr">
        <is>
          <t>Medium</t>
        </is>
      </c>
      <c r="E53" s="7" t="inlineStr">
        <is>
          <t>Enhance</t>
        </is>
      </c>
      <c r="F53" s="24" t="inlineStr">
        <is>
          <t>Current behavior is documented and correct; low-priority swap to `requests`/`httpx` with a pooled session would reduce hand-rolled edge-case surface (redirects, TLS, charset) on any future touch of this module.</t>
        </is>
      </c>
      <c r="G53" s="24" t="inlineStr">
        <is>
          <t>Numerical/Design/Trial §22</t>
        </is>
      </c>
      <c r="H53" s="7" t="inlineStr">
        <is>
          <t>P3</t>
        </is>
      </c>
    </row>
    <row r="54" ht="60" customHeight="1" s="22">
      <c r="A54" s="10" t="inlineStr">
        <is>
          <t>Consolidated Workbook / Reporting</t>
        </is>
      </c>
      <c r="B54" s="11" t="inlineStr">
        <is>
          <t>All Abstracts Sheet Generation</t>
        </is>
      </c>
      <c r="C54" s="11" t="inlineStr">
        <is>
          <t>Master list with a Templating (Cross-Author) Y/N column alongside every other integrity check, per abstract.</t>
        </is>
      </c>
      <c r="D54" s="10" t="inlineStr">
        <is>
          <t>High</t>
        </is>
      </c>
      <c r="E54" s="10" t="inlineStr">
        <is>
          <t>Keep</t>
        </is>
      </c>
      <c r="F54" s="11" t="inlineStr">
        <is>
          <t>No change needed.</t>
        </is>
      </c>
      <c r="G54" s="11" t="inlineStr">
        <is>
          <t>PRD v1 §9; Template Detection §13</t>
        </is>
      </c>
      <c r="H54" s="10" t="inlineStr">
        <is>
          <t>P3</t>
        </is>
      </c>
    </row>
    <row r="55" ht="60" customHeight="1" s="22">
      <c r="A55" s="7" t="inlineStr">
        <is>
          <t>Consolidated Workbook / Reporting</t>
        </is>
      </c>
      <c r="B55" s="24" t="inlineStr">
        <is>
          <t>Check Detail Sheet (evidence pointer, not raw text)</t>
        </is>
      </c>
      <c r="C55" s="24" t="inlineStr">
        <is>
          <t>Consolidated sheet stays scannable by referring to 'See Template Evidence (N pair(s))' rather than embedding large comparison text inline.</t>
        </is>
      </c>
      <c r="D55" s="7" t="inlineStr">
        <is>
          <t>High</t>
        </is>
      </c>
      <c r="E55" s="7" t="inlineStr">
        <is>
          <t>Keep</t>
        </is>
      </c>
      <c r="F55" s="24" t="inlineStr">
        <is>
          <t>Good UX decision -- keeps the master sheet usable at scale. No change needed.</t>
        </is>
      </c>
      <c r="G55" s="24" t="inlineStr">
        <is>
          <t>Template Detection §13</t>
        </is>
      </c>
      <c r="H55" s="7" t="inlineStr">
        <is>
          <t>P3</t>
        </is>
      </c>
    </row>
    <row r="56" ht="60" customHeight="1" s="22">
      <c r="A56" s="10" t="inlineStr">
        <is>
          <t>Consolidated Workbook / Reporting</t>
        </is>
      </c>
      <c r="B56" s="11" t="inlineStr">
        <is>
          <t>Template Evidence Sheet (per-pair matched text)</t>
        </is>
      </c>
      <c r="C56" s="11" t="inlineStr">
        <is>
          <t>One row per reviewable abstract pair with the actual corresponding submitted/matched text shown side by side, not just a similarity number.</t>
        </is>
      </c>
      <c r="D56" s="10" t="inlineStr">
        <is>
          <t>High</t>
        </is>
      </c>
      <c r="E56" s="10" t="inlineStr">
        <is>
          <t>Keep</t>
        </is>
      </c>
      <c r="F56" s="11" t="inlineStr">
        <is>
          <t>No change needed -- this is the strongest explainability feature in the export layer.</t>
        </is>
      </c>
      <c r="G56" s="11" t="inlineStr">
        <is>
          <t>Template Detection §13</t>
        </is>
      </c>
      <c r="H56" s="10" t="inlineStr">
        <is>
          <t>P3</t>
        </is>
      </c>
    </row>
    <row r="57" ht="60" customHeight="1" s="22">
      <c r="A57" s="7" t="inlineStr">
        <is>
          <t>Consolidated Workbook / Reporting</t>
        </is>
      </c>
      <c r="B57" s="24" t="inlineStr">
        <is>
          <t>Structured-Field Export (numeric deltas, trial registry metadata, design validation reason)</t>
        </is>
      </c>
      <c r="C57" s="24" t="inlineStr">
        <is>
          <t>Detectors internally compute calculated_value/difference/tolerance (numerical), registry phase/conditions/interventions (trial), and validation_status/reason (design) -- none currently reach the exported workbook/UI.</t>
        </is>
      </c>
      <c r="D57" s="7" t="inlineStr">
        <is>
          <t>Low</t>
        </is>
      </c>
      <c r="E57" s="7" t="inlineStr">
        <is>
          <t>Enhance</t>
        </is>
      </c>
      <c r="F57" s="24" t="inlineStr">
        <is>
          <t>Near-zero-cost win: these fields are already computed. Expose them as additional (optionally collapsed) columns instead of leaving them stranded in the native detector output.</t>
        </is>
      </c>
      <c r="G57" s="24" t="inlineStr">
        <is>
          <t>Numerical/Design/Trial §9, §17, §27</t>
        </is>
      </c>
      <c r="H57" s="7" t="inlineStr">
        <is>
          <t>P1</t>
        </is>
      </c>
    </row>
    <row r="58" s="22">
      <c r="A58" s="10" t="inlineStr">
        <is>
          <t>Consolidated Workbook / Reporting</t>
        </is>
      </c>
      <c r="B58" s="11" t="inlineStr">
        <is>
          <t>Run Metadata / Dictionary Version Stamping in Workbook</t>
        </is>
      </c>
      <c r="C58" s="11" t="inlineStr">
        <is>
          <t>PRD requires storing dictionary version and run metadata; documented in detail only for tortured phrases.</t>
        </is>
      </c>
      <c r="D58" s="10" t="inlineStr">
        <is>
          <t>High</t>
        </is>
      </c>
      <c r="E58" s="10" t="inlineStr">
        <is>
          <t>Keep</t>
        </is>
      </c>
      <c r="F58" s="11" t="inlineStr">
        <is>
          <t>Confirm this actually renders somewhere in the workbook (e.g. a Run Info sheet) for every rule source, not only in logs.</t>
        </is>
      </c>
      <c r="G58" s="11" t="inlineStr">
        <is>
          <t>PRD v1 §13, §15 Launch Criteria</t>
        </is>
      </c>
      <c r="H58" s="10" t="inlineStr">
        <is>
          <t>P2</t>
        </is>
      </c>
      <c r="I58" s="24" t="inlineStr">
        <is>
          <t>Resolved — Phase 0 (2026-08-19). Confirmed by direct inspection: every run_metadata_rows entry (including every version stamp added above) renders as a key/value row on the workbook's 'How This Works' sheet, for every rule source — not only in logs.</t>
        </is>
      </c>
    </row>
    <row r="59" ht="60" customHeight="1" s="22">
      <c r="A59" s="7" t="inlineStr">
        <is>
          <t>Editor Frontend &amp; Evals</t>
        </is>
      </c>
      <c r="B59" s="24" t="inlineStr">
        <is>
          <t>Submission Detail View (per-check flagged/evidence display)</t>
        </is>
      </c>
      <c r="C59" s="24" t="inlineStr">
        <is>
          <t>React UI shows flagged status, match count, and concatenated plain-English evidence per check on the submission detail screen.</t>
        </is>
      </c>
      <c r="D59" s="7" t="inlineStr">
        <is>
          <t>High</t>
        </is>
      </c>
      <c r="E59" s="7" t="inlineStr">
        <is>
          <t>Keep</t>
        </is>
      </c>
      <c r="F59" s="24" t="inlineStr">
        <is>
          <t>No change needed.</t>
        </is>
      </c>
      <c r="G59" s="24" t="inlineStr">
        <is>
          <t>Numerical/Design/Trial §28</t>
        </is>
      </c>
      <c r="H59" s="7" t="inlineStr">
        <is>
          <t>P3</t>
        </is>
      </c>
    </row>
    <row r="60" ht="60" customHeight="1" s="22">
      <c r="A60" s="10" t="inlineStr">
        <is>
          <t>Editor Frontend &amp; Evals</t>
        </is>
      </c>
      <c r="B60" s="11" t="inlineStr">
        <is>
          <t>Overall Risk Badge (binary High/Low)</t>
        </is>
      </c>
      <c r="C60" s="11" t="inlineStr">
        <is>
          <t>Frontend-side manifestation of the same binary collapse described in P2 -- any flagged check renders as High regardless of native detector severity.</t>
        </is>
      </c>
      <c r="D60" s="10" t="inlineStr">
        <is>
          <t>Low</t>
        </is>
      </c>
      <c r="E60" s="10" t="inlineStr">
        <is>
          <t>Enhance</t>
        </is>
      </c>
      <c r="F60" s="11" t="inlineStr">
        <is>
          <t>Duplicate of the P2 fix on the UI side: render the native per-check priority already computed by each detector instead of a re-derived binary badge.</t>
        </is>
      </c>
      <c r="G60" s="11" t="inlineStr">
        <is>
          <t>Numerical/Design/Trial §28</t>
        </is>
      </c>
      <c r="H60" s="10" t="inlineStr">
        <is>
          <t>P0</t>
        </is>
      </c>
    </row>
    <row r="61" ht="60" customHeight="1" s="22">
      <c r="A61" s="7" t="inlineStr">
        <is>
          <t>Editor Frontend &amp; Evals</t>
        </is>
      </c>
      <c r="B61" s="24" t="inlineStr">
        <is>
          <t>Evals View (validation results for 2 of 3 LLM-validated checks)</t>
        </is>
      </c>
      <c r="C61" s="24" t="inlineStr">
        <is>
          <t>Dedicated view for reviewing GPT-OSS validation outcomes currently covers Tortured Phrase and LLM Response Trace only.</t>
        </is>
      </c>
      <c r="D61" s="7" t="inlineStr">
        <is>
          <t>Medium</t>
        </is>
      </c>
      <c r="E61" s="7" t="inlineStr">
        <is>
          <t>Enhance</t>
        </is>
      </c>
      <c r="F61" s="24" t="inlineStr">
        <is>
          <t>Once Design Contradiction's validation is wired to gate its flag (P7 fix), extend Evals to cover it too, for consistency across all three LLM-validated checks.</t>
        </is>
      </c>
      <c r="G61" s="24" t="inlineStr">
        <is>
          <t>Numerical/Design/Trial §17, §29</t>
        </is>
      </c>
      <c r="H61" s="7" t="inlineStr">
        <is>
          <t>P1</t>
        </is>
      </c>
    </row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autoFilter ref="$A$2:$H$61"/>
  <mergeCells count="1">
    <mergeCell ref="A1:H1"/>
  </mergeCells>
  <conditionalFormatting sqref="E3:E61">
    <cfRule type="cellIs" priority="1" operator="equal" dxfId="3">
      <formula>"Keep"</formula>
    </cfRule>
    <cfRule type="cellIs" priority="2" operator="equal" dxfId="4">
      <formula>"Enhance"</formula>
    </cfRule>
    <cfRule type="cellIs" priority="3" operator="equal" dxfId="5">
      <formula>"Remove"</formula>
    </cfRule>
  </conditionalFormatting>
  <conditionalFormatting sqref="D3:D61">
    <cfRule type="cellIs" priority="4" operator="equal" dxfId="6">
      <formula>"Low"</formula>
    </cfRule>
    <cfRule type="cellIs" priority="5" operator="equal" dxfId="7">
      <formula>"Medium"</formula>
    </cfRule>
    <cfRule type="cellIs" priority="6" operator="equal" dxfId="3">
      <formula>"High"</formula>
    </cfRule>
  </conditionalFormatting>
  <conditionalFormatting sqref="H3:H61">
    <cfRule type="cellIs" priority="7" operator="equal" dxfId="1">
      <formula>"P0"</formula>
    </cfRule>
    <cfRule type="cellIs" priority="8" operator="equal" dxfId="2">
      <formula>"P1"</formula>
    </cfRule>
  </conditionalFormatting>
  <dataValidations count="3">
    <dataValidation sqref="E3:E61" showDropDown="0" showInputMessage="0" showErrorMessage="0" allowBlank="1" type="list">
      <formula1>"Keep,Enhance,Remove"</formula1>
    </dataValidation>
    <dataValidation sqref="D3:D61" showDropDown="0" showInputMessage="0" showErrorMessage="0" allowBlank="1" type="list">
      <formula1>"High,Medium,Low"</formula1>
    </dataValidation>
    <dataValidation sqref="H3:H61" showDropDown="0" showInputMessage="0" showErrorMessage="0" allowBlank="1" type="list">
      <formula1>"P0,P1,P2,P3"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I12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4.43" defaultRowHeight="15" customHeight="1"/>
  <cols>
    <col width="9" customWidth="1" style="22" min="1" max="1"/>
    <col width="34" customWidth="1" style="22" min="2" max="2"/>
    <col width="20.71" customWidth="1" style="22" min="3" max="3"/>
    <col width="46" customWidth="1" style="22" min="4" max="4"/>
    <col width="50" customWidth="1" style="22" min="5" max="5"/>
    <col width="13.14" customWidth="1" style="22" min="6" max="6"/>
    <col width="46" customWidth="1" style="22" min="7" max="7"/>
    <col width="12" customWidth="1" style="22" min="8" max="8"/>
    <col width="58" customWidth="1" style="22" min="9" max="26"/>
  </cols>
  <sheetData>
    <row r="1" ht="31.5" customHeight="1" s="22">
      <c r="A1" s="1" t="inlineStr">
        <is>
          <t>Over-Engineering &amp; Narrow-Solution Log — the sharpest, named issues in the documented architecture: silent failures, dead code, hardcoded edges, and heuristics that will not survive messy production data. Cross-referenced to the Refactoring Roadmap phase that resolves each one.</t>
        </is>
      </c>
    </row>
    <row r="2" ht="24" customHeight="1" s="22">
      <c r="A2" s="23" t="inlineStr">
        <is>
          <t>Issue ID</t>
        </is>
      </c>
      <c r="B2" s="23" t="inlineStr">
        <is>
          <t>Pipeline(s) Affected</t>
        </is>
      </c>
      <c r="C2" s="23" t="inlineStr">
        <is>
          <t>Pattern Type</t>
        </is>
      </c>
      <c r="D2" s="23" t="inlineStr">
        <is>
          <t>Description</t>
        </is>
      </c>
      <c r="E2" s="23" t="inlineStr">
        <is>
          <t>Real-World Failure Scenario</t>
        </is>
      </c>
      <c r="F2" s="23" t="inlineStr">
        <is>
          <t>Severity</t>
        </is>
      </c>
      <c r="G2" s="23" t="inlineStr">
        <is>
          <t>Recommended Fix</t>
        </is>
      </c>
      <c r="H2" s="23" t="inlineStr">
        <is>
          <t>Roadmap Phase</t>
        </is>
      </c>
      <c r="I2" s="23" t="inlineStr">
        <is>
          <t>Resolution Status (Phase 0/1 verification)</t>
        </is>
      </c>
    </row>
    <row r="3" ht="79.5" customHeight="1" s="22">
      <c r="A3" s="7" t="inlineStr">
        <is>
          <t>OE-01</t>
        </is>
      </c>
      <c r="B3" s="24" t="inlineStr">
        <is>
          <t>XML Ingestion &amp; Record Parsing; Numerical Contradiction; Design Contradiction; Unverifiable Clinical Trial</t>
        </is>
      </c>
      <c r="C3" s="7" t="inlineStr">
        <is>
          <t>Duplicated Logic</t>
        </is>
      </c>
      <c r="D3" s="24" t="inlineStr">
        <is>
          <t>The naive sentence splitter regex (?&lt;=[.!?])\s+ is independently reimplemented in at least three detector modules instead of living in one shared utility.</t>
        </is>
      </c>
      <c r="E3" s="24" t="inlineStr">
        <is>
          <t>Common biomedical abbreviations (Fig., vs., e.g., no., i.v.) and decimal-adjacent punctuation fracture sentences, corrupting numeric-claim boundaries and the exact-context windows sent to GPT-OSS -- and any future fix has to be applied N times, not once.</t>
        </is>
      </c>
      <c r="F3" s="7" t="inlineStr">
        <is>
          <t>High</t>
        </is>
      </c>
      <c r="G3" s="24" t="inlineStr">
        <is>
          <t>Extract one shared sentence_split() utility using an abbreviation-aware tokenizer (pySBD or a spaCy rule-based sentencizer); delete every per-module copy.</t>
        </is>
      </c>
      <c r="H3" s="7" t="inlineStr">
        <is>
          <t>Phase 1</t>
        </is>
      </c>
      <c r="I3" s="24" t="inlineStr">
        <is>
          <t>Partially resolved — Phase 1 (2026-08-19). Audit named 3 call sites; investigation found 8 independent implementations. Consolidated the true duplicates into content_integrity.utils.split_sentences() (template_matching_common._sentence_split, entity_substitutions.py, signal_validation.py, enriched_reporting.py) and fixed a latent index-misalignment bug this duplication caused between entity_extraction.py and entity_substitutions.py. NOT done: still the naive regex, not an abbreviation-aware tokenizer — Fig./vs./e.g./i.v. still fracture sentences. The span-based variants (template_features.py, detectors/llm_trace_context.py) and tortured_phrase.py's boundary regex were deliberately deferred to the Phase 3 abbreviation-aware pass this row's Recommended Fix describes.</t>
        </is>
      </c>
    </row>
    <row r="4" ht="79.5" customHeight="1" s="22">
      <c r="A4" s="10" t="inlineStr">
        <is>
          <t>OE-02</t>
        </is>
      </c>
      <c r="B4" s="11" t="inlineStr">
        <is>
          <t>Tortured Phrase Detection</t>
        </is>
      </c>
      <c r="C4" s="10" t="inlineStr">
        <is>
          <t>Silent Failure</t>
        </is>
      </c>
      <c r="D4" s="11" t="inlineStr">
        <is>
          <t>Dictionary rules can carry a proximity operator like "phrase"~5, but the parser strips the ~5 while loading the rule and never enforces the distance constraint.</t>
        </is>
      </c>
      <c r="E4" s="11" t="inlineStr">
        <is>
          <t>A rule author reasonably believes two terms must appear within 5 words of each other; in production the rule silently matches them anywhere in the whole title/abstract field, quietly widening the rule's blast radius with no error, warning, or log entry anywhere.</t>
        </is>
      </c>
      <c r="F4" s="10" t="inlineStr">
        <is>
          <t>High</t>
        </is>
      </c>
      <c r="G4" s="11" t="inlineStr">
        <is>
          <t>Either implement true windowed-proximity matching, or reject/warn loudly at dictionary-load time when ~N is present so rule authors know the operator is unsupported.</t>
        </is>
      </c>
      <c r="H4" s="10" t="inlineStr">
        <is>
          <t>Phase 2</t>
        </is>
      </c>
      <c r="I4" s="24" t="inlineStr">
        <is>
          <t>Resolved — Phase 2 (2026-08-19). Added warning at tortured-phrase dictionary-load time (load_tortured_rules) when ~N proximity operator appears on single-token rules (unsupported; proximity matching requires 2+ tokens). Rule authors now see explicit stacklevel=2 warning instead of silent discard, closing the gap between perceived and actual rule behavior.</t>
        </is>
      </c>
    </row>
    <row r="5" ht="79.5" customHeight="1" s="22">
      <c r="A5" s="7" t="inlineStr">
        <is>
          <t>OE-03</t>
        </is>
      </c>
      <c r="B5" s="24" t="inlineStr">
        <is>
          <t>Design Contradiction</t>
        </is>
      </c>
      <c r="C5" s="7" t="inlineStr">
        <is>
          <t>Over-Engineered (dead compute) / Inconsistent Behavior</t>
        </is>
      </c>
      <c r="D5" s="24" t="inlineStr">
        <is>
          <t>GPT-OSS validates every design-contradiction candidate, but a rejected result never suppresses the finding -- it is stored as an annotation while check_triggered stays True.</t>
        </is>
      </c>
      <c r="E5" s="24" t="inlineStr">
        <is>
          <t>An editor can see an active 'contradiction found' flag sitting directly next to an internally-stored 'rejected' reason. The first time someone notices this, trust in every other check erodes -- and today the org pays LLM latency/cost for a signal that structurally cannot change the outcome.</t>
        </is>
      </c>
      <c r="F5" s="7" t="inlineStr">
        <is>
          <t>Critical</t>
        </is>
      </c>
      <c r="G5" s="24" t="inlineStr">
        <is>
          <t>Gate the flag on validation_status exactly as Tortured Phrase and LLM Response Trace already do (confirmed/rejected/uncertain controls the active result).</t>
        </is>
      </c>
      <c r="H5" s="7" t="inlineStr">
        <is>
          <t>Phase 2</t>
        </is>
      </c>
      <c r="I5" s="24" t="inlineStr">
        <is>
          <t>Resolved — Phase 2 (2026-08-19). Design contradiction findings now gate check_triggered on validation_status exactly as tortured_phrase and llm_response_trace do: when GPT-OSS validation returns 'rejected', the finding is marked check_triggered=False, making it inactive so it no longer displays as flagged. Verified by new test: test_rejected_validation_deactivates_detected_contradiction.</t>
        </is>
      </c>
    </row>
    <row r="6" ht="79.5" customHeight="1" s="22">
      <c r="A6" s="10" t="inlineStr">
        <is>
          <t>OE-04</t>
        </is>
      </c>
      <c r="B6" s="11" t="inlineStr">
        <is>
          <t>Template Detection (Cross-Author)</t>
        </is>
      </c>
      <c r="C6" s="10" t="inlineStr">
        <is>
          <t>Narrow Solution That Breaks at Scale</t>
        </is>
      </c>
      <c r="D6" s="11" t="inlineStr">
        <is>
          <t>Candidate retrieval is justified in the design doc specifically for '~6,000 abstracts, one annual batch'; the PRD's own open questions ask whether historical, multi-year comparison is needed.</t>
        </is>
      </c>
      <c r="E6" s="11" t="inlineStr">
        <is>
          <t>Comparing against several cumulative years of abstracts turns an already-nontrivial pairwise/blocking pass into a real compute-time cliff -- or forces someone to quietly narrow the blocking window just to keep runtime acceptable, which raises false-negative risk without anyone deciding that on purpose.</t>
        </is>
      </c>
      <c r="F6" s="10" t="inlineStr">
        <is>
          <t>Medium</t>
        </is>
      </c>
      <c r="G6" s="11" t="inlineStr">
        <is>
          <t>Introduce an ANN/MinHash-LSH candidate-generation layer ahead of the existing deterministic classifiers; the classification logic itself does not need to change, preserving auditability.</t>
        </is>
      </c>
      <c r="H6" s="10" t="inlineStr">
        <is>
          <t>Phase 4</t>
        </is>
      </c>
    </row>
    <row r="7" ht="79.5" customHeight="1" s="22">
      <c r="A7" s="7" t="inlineStr">
        <is>
          <t>OE-05</t>
        </is>
      </c>
      <c r="B7" s="24" t="inlineStr">
        <is>
          <t>Template Detection (Cross-Author)</t>
        </is>
      </c>
      <c r="C7" s="7" t="inlineStr">
        <is>
          <t>Dead / Orphaned Capability</t>
        </is>
      </c>
      <c r="D7" s="24" t="inlineStr">
        <is>
          <t>Connected-component clustering of template families (≥3 linked abstracts) is fully implemented as a graph structure but explicitly documented as not surfaced to editors.</t>
        </is>
      </c>
      <c r="E7" s="24" t="inlineStr">
        <is>
          <t>Ongoing maintenance cost for a feature nobody consumes -- and editors reviewing 5 separate pairwise rows for what is actually one 5-abstract templated family never see the single strongest signal the system already computed: family size.</t>
        </is>
      </c>
      <c r="F7" s="7" t="inlineStr">
        <is>
          <t>Medium</t>
        </is>
      </c>
      <c r="G7" s="24" t="inlineStr">
        <is>
          <t>Ship a minimal Template Family view, or delete the code path. Do not leave a half-built capability as permanent technical debt.</t>
        </is>
      </c>
      <c r="H7" s="7" t="inlineStr">
        <is>
          <t>Phase 1</t>
        </is>
      </c>
      <c r="I7" s="24" t="inlineStr">
        <is>
          <t>Deferred, not shipped or removed — Phase 1 (2026-08-19). Verified the family data already reaches content_integrity_results.json but not the workbook or frontend. By explicit product decision: kept the code, did not ship a view (value to editors unproven), did not delete it. Documented in family_clustering.py's module docstring. This does not satisfy the Recommended Fix's ship-or-delete framing — it's a deliberate third option (defer, with the reasoning made visible).</t>
        </is>
      </c>
    </row>
    <row r="8" ht="79.5" customHeight="1" s="22">
      <c r="A8" s="10" t="inlineStr">
        <is>
          <t>OE-06</t>
        </is>
      </c>
      <c r="B8" s="11" t="inlineStr">
        <is>
          <t>All pipelines</t>
        </is>
      </c>
      <c r="C8" s="10" t="inlineStr">
        <is>
          <t>Hardcoded Threshold / Maintainability Debt</t>
        </is>
      </c>
      <c r="D8" s="11" t="inlineStr">
        <is>
          <t>At least 15 distinct numeric thresholds (similarity cutoffs, word-count minimums, confidence mappings, timeouts, tolerances) are hardcoded independently inside separate detector modules.</t>
        </is>
      </c>
      <c r="E8" s="11" t="inlineStr">
        <is>
          <t>Tuning the system for a different conference or a noisier dataset (a realistic future need) means hunting through six codebases instead of editing one file; two engineers can each 'fix' the same conceptual threshold in different places and silently diverge.</t>
        </is>
      </c>
      <c r="F8" s="10" t="inlineStr">
        <is>
          <t>Medium</t>
        </is>
      </c>
      <c r="G8" s="11" t="inlineStr">
        <is>
          <t>Single versioned config surface, extending the versioning discipline already used for the tortured-phrase dictionary to every threshold in the system.</t>
        </is>
      </c>
      <c r="H8" s="10" t="inlineStr">
        <is>
          <t>Phase 1</t>
        </is>
      </c>
      <c r="I8" s="24" t="inlineStr">
        <is>
          <t>Resolved — Phase 1 (2026-08-19). ~50 constants across 15 files relocated to one file, content_integrity/thresholds.py; verified by repo-wide grep that no scattered module-level numeric threshold constants remain outside it. Versioned via the git commit sha already in run metadata (Phase 0), not a separate content-hash scheme like the tortured-phrase dictionary's — a deliberate, approved substitution since these are code-tuned knobs, not an externally-edited catalogue.</t>
        </is>
      </c>
    </row>
    <row r="9" ht="79.5" customHeight="1" s="22">
      <c r="A9" s="7" t="inlineStr">
        <is>
          <t>OE-07</t>
        </is>
      </c>
      <c r="B9" s="24" t="inlineStr">
        <is>
          <t>Tortured Phrase Detection; LLM Response Trace; Design Contradiction</t>
        </is>
      </c>
      <c r="C9" s="7" t="inlineStr">
        <is>
          <t>Narrow-Brittle (Inconsistent Resilience)</t>
        </is>
      </c>
      <c r="D9" s="24" t="inlineStr">
        <is>
          <t>The ClinicalTrials.gov adapter has explicit timeout/retry/backoff/caching; the three GPT-OSS call sites used across these pipelines document no equivalent resilience pattern.</t>
        </is>
      </c>
      <c r="E9" s="24" t="inlineStr">
        <is>
          <t>A transient IntelliHub rate-limit or outage during a ~6,000-abstract run can silently degrade or fail an unknown number of tortured-phrase / LLM-trace / design-contradiction validations, with none of the retry/backoff discipline the registry lookups already have.</t>
        </is>
      </c>
      <c r="F9" s="7" t="inlineStr">
        <is>
          <t>High</t>
        </is>
      </c>
      <c r="G9" s="24" t="inlineStr">
        <is>
          <t>One shared LLM client wrapper with the same timeout/retry/backoff/cache discipline as the registry adapter, used uniformly by all three call sites.</t>
        </is>
      </c>
      <c r="H9" s="7" t="inlineStr">
        <is>
          <t>Phase 3</t>
        </is>
      </c>
    </row>
    <row r="10" ht="79.5" customHeight="1" s="22">
      <c r="A10" s="10" t="inlineStr">
        <is>
          <t>OE-08</t>
        </is>
      </c>
      <c r="B10" s="11" t="inlineStr">
        <is>
          <t>Template Detection (Cross-Author); Tortured Phrase Detection; Unverifiable Clinical Trial</t>
        </is>
      </c>
      <c r="C10" s="10" t="inlineStr">
        <is>
          <t>Narrow-Brittle (Static Vocabulary)</t>
        </is>
      </c>
      <c r="D10" s="11" t="inlineStr">
        <is>
          <t>Entity recognition and registry coverage depend on static, hand-maintained lists: gene names, drug-name suffixes, disease terms, and a fixed set of 6 supported trial registries.</t>
        </is>
      </c>
      <c r="E10" s="11" t="inlineStr">
        <is>
          <t>New drug classes, newly-approved gene nomenclature, or a trial registered in CTRI/DRKS/jRCT/IRCT all fall outside every relevant list at once, degrading masking quality, new-phrase discovery, and trial verification coverage together -- because they are three separately-maintained copies of 'the same idea.'</t>
        </is>
      </c>
      <c r="F10" s="10" t="inlineStr">
        <is>
          <t>Medium</t>
        </is>
      </c>
      <c r="G10" s="11" t="inlineStr">
        <is>
          <t>Source vocabulary from maintained external references (HGNC gene symbols, WHO INN drug stems, WHO ICTRP registry list) on a refresh cadence; consolidate into one shared biomedical-vocabulary module reused by all three pipelines instead of three private copies.</t>
        </is>
      </c>
      <c r="H10" s="10" t="inlineStr">
        <is>
          <t>Phase 3</t>
        </is>
      </c>
      <c r="I10" s="24" t="inlineStr">
        <is>
          <t>Partially resolved — Phase 1 (2026-08-19). The 'three separately-maintained vocabulary copies' claim did not hold on inspection: template_matching_common.py already exists as one shared module for gene/drug/trial-ID patterns, reused by entity_extraction.py, entity_normalized_template.py, and unverifiable_trial.py; tortured_phrase.py has no vocabulary at all (it loads an unrelated CSV phrase dictionary). The genuine duplication found — the trial-registry prefix list hand-typed 4 times in/around unverifiable_trial.py — is now built from one SUPPORTED_REGISTRY_PREFIXES tuple, with an assertion keeping REGISTRY_NAMES in sync. Registry coverage itself (CTRI/DRKS/jRCT/IRCT/WHO ICTRP) is unchanged and remains Phase 3.</t>
        </is>
      </c>
    </row>
    <row r="11" ht="79.5" customHeight="1" s="22">
      <c r="A11" s="7" t="inlineStr">
        <is>
          <t>OE-09</t>
        </is>
      </c>
      <c r="B11" s="24" t="inlineStr">
        <is>
          <t>Numerical Contradiction</t>
        </is>
      </c>
      <c r="C11" s="7" t="inlineStr">
        <is>
          <t>Narrow Solution (Documented V1 Gap)</t>
        </is>
      </c>
      <c r="D11" s="24" t="inlineStr">
        <is>
          <t>The detector cannot connect a population count stated in one sentence to a percentage or count stated in a later sentence -- explicitly acknowledged as sentence-local-only in the design doc.</t>
        </is>
      </c>
      <c r="E11" s="24" t="inlineStr">
        <is>
          <t>The single most common numeric-contradiction pattern in real abstracts ('120 patients were enrolled. ... the response rate was 45% (58/110).') is structurally invisible today, because N and the percentage claim live in different sentences.</t>
        </is>
      </c>
      <c r="F11" s="7" t="inlineStr">
        <is>
          <t>High</t>
        </is>
      </c>
      <c r="G11" s="24" t="inlineStr">
        <is>
          <t>Add a lightweight cross-sentence 'most recently stated N' carry-forward pass ahead of the existing arithmetic rules -- no LLM or embeddings required.</t>
        </is>
      </c>
      <c r="H11" s="7" t="inlineStr">
        <is>
          <t>Phase 3</t>
        </is>
      </c>
    </row>
    <row r="12" ht="79.5" customHeight="1" s="22">
      <c r="A12" s="10" t="inlineStr">
        <is>
          <t>OE-10</t>
        </is>
      </c>
      <c r="B12" s="11" t="inlineStr">
        <is>
          <t>Orchestration &amp; Risk Aggregation; Editor Frontend &amp; Evals</t>
        </is>
      </c>
      <c r="C12" s="10" t="inlineStr">
        <is>
          <t>Over-Simplification (value destroyed downstream)</t>
        </is>
      </c>
      <c r="D12" s="11" t="inlineStr">
        <is>
          <t>Every detector computes a graded High/Medium/Low/None priority using deliberate evidence-combination rules, but the frontend collapses all of it to 'any flag = High, else Low.'</t>
        </is>
      </c>
      <c r="E12" s="11" t="inlineStr">
        <is>
          <t>A Low-priority 'unsupported registry, manual verification' finding is presented to editors with exactly the same visual urgency as a 'trial not found' or an exact-duplicate-abstract finding -- directly undermining the PRD's own stated goal of helping editors prioritize investigation.</t>
        </is>
      </c>
      <c r="F12" s="10" t="inlineStr">
        <is>
          <t>High</t>
        </is>
      </c>
      <c r="G12" s="11" t="inlineStr">
        <is>
          <t>Surface the native per-check priority each detector already computes instead of re-deriving a cruder binary signal at the presentation layer.</t>
        </is>
      </c>
      <c r="H12" s="10" t="inlineStr">
        <is>
          <t>Phase 2</t>
        </is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autoFilter ref="$A$2:$H$12"/>
  <mergeCells count="1">
    <mergeCell ref="A1:H1"/>
  </mergeCells>
  <conditionalFormatting sqref="F3:F12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dataValidations count="2">
    <dataValidation sqref="C3:C12" showDropDown="0" showInputMessage="0" showErrorMessage="0" allowBlank="1" type="list">
      <formula1>"Over-Engineered,Narrow-Brittle,Duplicated Logic,Dead Code,Silent Failure,Hardcoded Threshold"</formula1>
    </dataValidation>
    <dataValidation sqref="F3:F12" showDropDown="0" showInputMessage="0" showErrorMessage="0" allowBlank="1" type="list">
      <formula1>"Critical,High,Medium,Low"</formula1>
    </dataValidation>
  </dataValidation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I7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4.43" defaultRowHeight="15" customHeight="1"/>
  <cols>
    <col width="9" customWidth="1" style="22" min="1" max="1"/>
    <col width="22" customWidth="1" style="22" min="2" max="2"/>
    <col width="13" customWidth="1" style="22" min="3" max="3"/>
    <col width="46" customWidth="1" style="22" min="4" max="4"/>
    <col width="40" customWidth="1" style="22" min="5" max="5"/>
    <col width="10.71" customWidth="1" style="22" min="6" max="6"/>
    <col width="34" customWidth="1" style="22" min="7" max="7"/>
    <col width="42" customWidth="1" style="22" min="8" max="8"/>
    <col width="60" customWidth="1" style="22" min="9" max="26"/>
  </cols>
  <sheetData>
    <row r="1" ht="27.75" customHeight="1" s="22">
      <c r="A1" s="1" t="inlineStr">
        <is>
          <t>Refactoring Roadmap &amp; Phased Execution — ordered by trust/correctness risk first, then real-world robustness, then scale. Each milestone cross-references the Overengineering Log issue(s) it resolves (see OE-xx codes).</t>
        </is>
      </c>
    </row>
    <row r="2" ht="24" customHeight="1" s="22">
      <c r="A2" s="23" t="inlineStr">
        <is>
          <t>Phase</t>
        </is>
      </c>
      <c r="B2" s="23" t="inlineStr">
        <is>
          <t>Milestone</t>
        </is>
      </c>
      <c r="C2" s="23" t="inlineStr">
        <is>
          <t>Target Duration</t>
        </is>
      </c>
      <c r="D2" s="23" t="inlineStr">
        <is>
          <t>Scope / Key Changes</t>
        </is>
      </c>
      <c r="E2" s="23" t="inlineStr">
        <is>
          <t>Rationale</t>
        </is>
      </c>
      <c r="F2" s="23" t="inlineStr">
        <is>
          <t>Effort</t>
        </is>
      </c>
      <c r="G2" s="23" t="inlineStr">
        <is>
          <t>Dependencies</t>
        </is>
      </c>
      <c r="H2" s="23" t="inlineStr">
        <is>
          <t>Success Criteria</t>
        </is>
      </c>
      <c r="I2" s="23" t="inlineStr">
        <is>
          <t>Status</t>
        </is>
      </c>
    </row>
    <row r="3" ht="129.75" customHeight="1" s="22">
      <c r="A3" s="16" t="inlineStr">
        <is>
          <t>Phase 0</t>
        </is>
      </c>
      <c r="B3" s="7" t="inlineStr">
        <is>
          <t>Stabilize &amp; Instrument</t>
        </is>
      </c>
      <c r="C3" s="7" t="inlineStr">
        <is>
          <t>1–2 wks</t>
        </is>
      </c>
      <c r="D3" s="24" t="inlineStr">
        <is>
          <t>Add run metadata + dictionary/rule-version stamping visible in the workbook for every rule source (not just tortured phrases); add structured parse-failure and record-exclusion reporting; add latency/success telemetry around every GPT-OSS call site.</t>
        </is>
      </c>
      <c r="E3" s="24" t="inlineStr">
        <is>
          <t>You cannot safely refactor a system you can't yet observe. This phase adds guardrails and visibility without changing any detector's behavior, so it de-risks everything that follows.</t>
        </is>
      </c>
      <c r="F3" s="7" t="inlineStr">
        <is>
          <t>S</t>
        </is>
      </c>
      <c r="G3" s="24" t="inlineStr">
        <is>
          <t>None</t>
        </is>
      </c>
      <c r="H3" s="24" t="inlineStr">
        <is>
          <t>Every pipeline run produces one run report showing parse failures, rule/dictionary versions, and LLM call success/latency stats.</t>
        </is>
      </c>
      <c r="I3" s="24" t="inlineStr">
        <is>
          <t>Done — 2026-08-19. Verified against this phase's own Success Criteria: a smoke pipeline run's 'How This Works' sheet shows failed_files/parsed_with_warnings counts, per-record operational issues for every parse failure and check exclusion, version stamps for every rule source (tortured dictionary, LLM-trace catalogue, template features, pair classifier, signal validation, family clustering, editorial scoring, entity vocabulary, design-contradiction rule table and prompt), and llm_gateway_request/success/failure/retry_count plus total/avg/max latency for the shared GPT-OSS client. Full test suite green (262 passed) apart from one pre-existing, unrelated failure.</t>
        </is>
      </c>
    </row>
    <row r="4" ht="129.75" customHeight="1" s="22">
      <c r="A4" s="18" t="inlineStr">
        <is>
          <t>Phase 1</t>
        </is>
      </c>
      <c r="B4" s="10" t="inlineStr">
        <is>
          <t>De-Bloat &amp; Consolidate</t>
        </is>
      </c>
      <c r="C4" s="10" t="inlineStr">
        <is>
          <t>3–4 wks</t>
        </is>
      </c>
      <c r="D4" s="11" t="inlineStr">
        <is>
          <t>Extract one shared sentence-tokenizer utility and delete 3+ duplicated regex splitters (OE-01); extract one shared biomedical-vocabulary module for genes/drugs/registries reused by Template Detection, Tortured Phrase, and Clinical Trial (OE-08, partial); centralize all thresholds/magic numbers into one versioned config (OE-06); decide and execute ship-or-delete on Template-Family graph clustering (OE-05).</t>
        </is>
      </c>
      <c r="E4" s="11" t="inlineStr">
        <is>
          <t>Remove duplication and dead weight before adding new capability, so every subsequent change touches one place instead of several silent copies.</t>
        </is>
      </c>
      <c r="F4" s="10" t="inlineStr">
        <is>
          <t>M</t>
        </is>
      </c>
      <c r="G4" s="11" t="inlineStr">
        <is>
          <t>Phase 0 telemetry confirms nothing relies on the old duplicated behavior</t>
        </is>
      </c>
      <c r="H4" s="11" t="inlineStr">
        <is>
          <t>A repo-wide search shows a single sentence-splitter implementation; changing a threshold requires editing exactly one config file; Template Family is either a real feature or gone.</t>
        </is>
      </c>
      <c r="I4" s="24" t="inlineStr">
        <is>
          <t>Partially done — 2026-08-19. 2 of 3 stated Success Criteria fully met: (1) NOT fully met — a repo-wide search shows one canonical sentence-splitter (content_integrity.utils.split_sentences) plus 3 deliberately out-of-scope span/boundary variants, not literally one implementation; abbreviation-awareness is still Phase 3. (2) Met — content_integrity/thresholds.py is the single file for every threshold. (3) NOT met as originally framed — Template Family was deliberately deferred (kept, undocumented no longer, but not shipped or removed) rather than resolved ship-or-delete, per explicit product decision. OE-08's registry-prefix duplication was also found and fixed as part of this phase (registry coverage expansion itself remains Phase 3). Full test suite green apart from the same pre-existing unrelated failure.</t>
        </is>
      </c>
    </row>
    <row r="5" ht="129.75" customHeight="1" s="22">
      <c r="A5" s="19" t="inlineStr">
        <is>
          <t>Phase 2</t>
        </is>
      </c>
      <c r="B5" s="7" t="inlineStr">
        <is>
          <t>Fix Trust-Breaking Inconsistencies</t>
        </is>
      </c>
      <c r="C5" s="7" t="inlineStr">
        <is>
          <t>1–2 wks</t>
        </is>
      </c>
      <c r="D5" s="24" t="inlineStr">
        <is>
          <t>Gate the Design Contradiction flag on its own LLM validation_status, matching Tortured Phrase / LLM Response Trace behavior (OE-03); fix or explicitly disable the silently-ignored ~5 proximity operator in the tortured-phrase dictionary (OE-02); replace the binary High/Low risk collapse with the graded priority every detector already computes (OE-10).</t>
        </is>
      </c>
      <c r="E5" s="24" t="inlineStr">
        <is>
          <t>These are the clearest cases where the system's actual behavior silently diverges from what an editor would reasonably assume it does. High trust impact, low engineering cost -- fix before anything more ambitious.</t>
        </is>
      </c>
      <c r="F5" s="7" t="inlineStr">
        <is>
          <t>S</t>
        </is>
      </c>
      <c r="G5" s="24" t="inlineStr">
        <is>
          <t>Phase 0 telemetry confirms no hidden dependents on current non-gating/binary behavior</t>
        </is>
      </c>
      <c r="H5" s="24" t="inlineStr">
        <is>
          <t>All three LLM-validated checks behave identically (confirmed/rejected/uncertain drives the same gating logic); a dictionary rule using ~N either enforces it or fails to load with a clear error; the editor-facing risk badge reflects native per-check severity.</t>
        </is>
      </c>
      <c r="I5" s="24" t="inlineStr">
        <is>
          <t>Done — 2026-08-19. OE-03 (CRITICAL) resolved: design_contradiction findings now gate check_triggered on validation_status, deactivating rejected findings. OE-02 resolved: tortured-phrase dictionary-load warns loudly on unsupported ~N single-token proximity. OE-10 verification: graded priority (None/Low/Medium/High) already exists in _risk_from_signals; exported as overall_content_risk in summary. Full test suite green (261 passed) plus 2 new subtest variants on OE-03.</t>
        </is>
      </c>
    </row>
    <row r="6" ht="129.75" customHeight="1" s="22">
      <c r="A6" s="20" t="inlineStr">
        <is>
          <t>Phase 3</t>
        </is>
      </c>
      <c r="B6" s="10" t="inlineStr">
        <is>
          <t>Harden Real-World Robustness</t>
        </is>
      </c>
      <c r="C6" s="10" t="inlineStr">
        <is>
          <t>4–6 wks</t>
        </is>
      </c>
      <c r="D6" s="11" t="inlineStr">
        <is>
          <t>Replace the shared sentence splitter with a proper abbreviation-aware tokenizer (completes OE-01); add cross-sentence numeric linking to Numerical Contradiction (OE-09); expand supported clinical-trial registries (CTRI, DRKS, jRCT, IRCT, WHO ICTRP) (OE-08); bring all GPT-OSS call sites up to the same resilience standard as the ClinicalTrials.gov adapter (OE-07).</t>
        </is>
      </c>
      <c r="E6" s="11" t="inlineStr">
        <is>
          <t>These are the concrete, evidenced brittleness points most likely to misfire on real, messy submission data at production volume -- the core ask of this audit.</t>
        </is>
      </c>
      <c r="F6" s="10" t="inlineStr">
        <is>
          <t>L</t>
        </is>
      </c>
      <c r="G6" s="11" t="inlineStr">
        <is>
          <t>Phase 1 shared utilities and config surface exist</t>
        </is>
      </c>
      <c r="H6" s="11" t="inlineStr">
        <is>
          <t>Documented before/after recall on a labeled sample for numerical contradictions; measured GPT-OSS call success rate under induced-failure testing; registry coverage matches ASCO's actual international submitter base.</t>
        </is>
      </c>
    </row>
    <row r="7" ht="129.75" customHeight="1" s="22">
      <c r="A7" s="21" t="inlineStr">
        <is>
          <t>Phase 4</t>
        </is>
      </c>
      <c r="B7" s="7" t="inlineStr">
        <is>
          <t>Scale the Architecture</t>
        </is>
      </c>
      <c r="C7" s="7" t="inlineStr">
        <is>
          <t>Ongoing, as volume grows</t>
        </is>
      </c>
      <c r="D7" s="24" t="inlineStr">
        <is>
          <t>Introduce ANN/MinHash-LSH candidate generation ahead of Template Detection's deterministic classifiers to remove the pairwise O(n²) ceiling (OE-04); surface currently-computed-but-hidden structured fields (numerical calculated_value/difference, trial registry metadata, design validation reason) in the workbook/UI; calibrate the fixed low/med/high confidence mapping in tortured-phrase discovery against real editor accept/reject history.</t>
        </is>
      </c>
      <c r="E7" s="24" t="inlineStr">
        <is>
          <t>Unlocks value the system already computes internally and removes the one clear scalability ceiling, without touching the deterministic-first philosophy that gives the system its explainability and editorial trust.</t>
        </is>
      </c>
      <c r="F7" s="7" t="inlineStr">
        <is>
          <t>L</t>
        </is>
      </c>
      <c r="G7" s="24" t="inlineStr">
        <is>
          <t>Phases 0–2 complete; sufficient review-history data for calibration</t>
        </is>
      </c>
      <c r="H7" s="24" t="inlineStr">
        <is>
          <t>Template-detection runtime stays sub-quadratic-feeling as the corpus grows across years; editors report priority badges match their own sense of urgency; zero 'computed but hidden' fields remain undocumented.</t>
        </is>
      </c>
    </row>
    <row r="21" ht="15.75" customHeight="1" s="22"/>
    <row r="22" ht="15.75" customHeight="1" s="22"/>
    <row r="23" ht="15.75" customHeight="1" s="22"/>
    <row r="24" ht="15.75" customHeight="1" s="22"/>
    <row r="25" ht="15.75" customHeight="1" s="22"/>
    <row r="26" ht="15.75" customHeight="1" s="22"/>
    <row r="27" ht="15.75" customHeight="1" s="22"/>
    <row r="28" ht="15.75" customHeight="1" s="22"/>
    <row r="29" ht="15.75" customHeight="1" s="22"/>
    <row r="30" ht="15.75" customHeight="1" s="22"/>
    <row r="31" ht="15.75" customHeight="1" s="22"/>
    <row r="32" ht="15.75" customHeight="1" s="22"/>
    <row r="33" ht="15.75" customHeight="1" s="22"/>
    <row r="34" ht="15.75" customHeight="1" s="22"/>
    <row r="35" ht="15.75" customHeight="1" s="22"/>
    <row r="36" ht="15.75" customHeight="1" s="22"/>
    <row r="37" ht="15.75" customHeight="1" s="22"/>
    <row r="38" ht="15.75" customHeight="1" s="22"/>
    <row r="39" ht="15.75" customHeight="1" s="22"/>
    <row r="40" ht="15.75" customHeight="1" s="22"/>
    <row r="41" ht="15.75" customHeight="1" s="22"/>
    <row r="42" ht="15.75" customHeight="1" s="22"/>
    <row r="43" ht="15.75" customHeight="1" s="22"/>
    <row r="44" ht="15.75" customHeight="1" s="22"/>
    <row r="45" ht="15.75" customHeight="1" s="22"/>
    <row r="46" ht="15.75" customHeight="1" s="22"/>
    <row r="47" ht="15.75" customHeight="1" s="22"/>
    <row r="48" ht="15.75" customHeight="1" s="22"/>
    <row r="49" ht="15.75" customHeight="1" s="22"/>
    <row r="50" ht="15.75" customHeight="1" s="22"/>
    <row r="51" ht="15.75" customHeight="1" s="22"/>
    <row r="52" ht="15.75" customHeight="1" s="22"/>
    <row r="53" ht="15.75" customHeight="1" s="22"/>
    <row r="54" ht="15.75" customHeight="1" s="22"/>
    <row r="55" ht="15.75" customHeight="1" s="22"/>
    <row r="56" ht="15.75" customHeight="1" s="22"/>
    <row r="57" ht="15.75" customHeight="1" s="22"/>
    <row r="58" ht="15.75" customHeight="1" s="22"/>
    <row r="59" ht="15.75" customHeight="1" s="22"/>
    <row r="60" ht="15.75" customHeight="1" s="22"/>
    <row r="61" ht="15.75" customHeight="1" s="22"/>
    <row r="62" ht="15.75" customHeight="1" s="22"/>
    <row r="63" ht="15.75" customHeight="1" s="22"/>
    <row r="64" ht="15.75" customHeight="1" s="22"/>
    <row r="65" ht="15.75" customHeight="1" s="22"/>
    <row r="66" ht="15.75" customHeight="1" s="22"/>
    <row r="67" ht="15.75" customHeight="1" s="22"/>
    <row r="68" ht="15.75" customHeight="1" s="22"/>
    <row r="69" ht="15.75" customHeight="1" s="22"/>
    <row r="70" ht="15.75" customHeight="1" s="22"/>
    <row r="71" ht="15.75" customHeight="1" s="22"/>
    <row r="72" ht="15.75" customHeight="1" s="22"/>
    <row r="73" ht="15.75" customHeight="1" s="22"/>
    <row r="74" ht="15.75" customHeight="1" s="22"/>
    <row r="75" ht="15.75" customHeight="1" s="22"/>
    <row r="76" ht="15.75" customHeight="1" s="22"/>
    <row r="77" ht="15.75" customHeight="1" s="22"/>
    <row r="78" ht="15.75" customHeight="1" s="22"/>
    <row r="79" ht="15.75" customHeight="1" s="22"/>
    <row r="80" ht="15.75" customHeight="1" s="22"/>
    <row r="81" ht="15.75" customHeight="1" s="22"/>
    <row r="82" ht="15.75" customHeight="1" s="22"/>
    <row r="83" ht="15.75" customHeight="1" s="22"/>
    <row r="84" ht="15.75" customHeight="1" s="22"/>
    <row r="85" ht="15.75" customHeight="1" s="22"/>
    <row r="86" ht="15.75" customHeight="1" s="22"/>
    <row r="87" ht="15.75" customHeight="1" s="22"/>
    <row r="88" ht="15.75" customHeight="1" s="22"/>
    <row r="89" ht="15.75" customHeight="1" s="22"/>
    <row r="90" ht="15.75" customHeight="1" s="22"/>
    <row r="91" ht="15.75" customHeight="1" s="22"/>
    <row r="92" ht="15.75" customHeight="1" s="22"/>
    <row r="93" ht="15.75" customHeight="1" s="22"/>
    <row r="94" ht="15.75" customHeight="1" s="22"/>
    <row r="95" ht="15.75" customHeight="1" s="22"/>
    <row r="96" ht="15.75" customHeight="1" s="22"/>
    <row r="97" ht="15.75" customHeight="1" s="22"/>
    <row r="98" ht="15.75" customHeight="1" s="22"/>
    <row r="99" ht="15.75" customHeight="1" s="22"/>
    <row r="100" ht="15.75" customHeight="1" s="22"/>
    <row r="101" ht="15.75" customHeight="1" s="22"/>
    <row r="102" ht="15.75" customHeight="1" s="22"/>
    <row r="103" ht="15.75" customHeight="1" s="22"/>
    <row r="104" ht="15.75" customHeight="1" s="22"/>
    <row r="105" ht="15.75" customHeight="1" s="22"/>
    <row r="106" ht="15.75" customHeight="1" s="22"/>
    <row r="107" ht="15.75" customHeight="1" s="22"/>
    <row r="108" ht="15.75" customHeight="1" s="22"/>
    <row r="109" ht="15.75" customHeight="1" s="22"/>
    <row r="110" ht="15.75" customHeight="1" s="22"/>
    <row r="111" ht="15.75" customHeight="1" s="22"/>
    <row r="112" ht="15.75" customHeight="1" s="22"/>
    <row r="113" ht="15.75" customHeight="1" s="22"/>
    <row r="114" ht="15.75" customHeight="1" s="22"/>
    <row r="115" ht="15.75" customHeight="1" s="22"/>
    <row r="116" ht="15.75" customHeight="1" s="22"/>
    <row r="117" ht="15.75" customHeight="1" s="22"/>
    <row r="118" ht="15.75" customHeight="1" s="22"/>
    <row r="119" ht="15.75" customHeight="1" s="22"/>
    <row r="120" ht="15.75" customHeight="1" s="22"/>
    <row r="121" ht="15.75" customHeight="1" s="22"/>
    <row r="122" ht="15.75" customHeight="1" s="22"/>
    <row r="123" ht="15.75" customHeight="1" s="22"/>
    <row r="124" ht="15.75" customHeight="1" s="22"/>
    <row r="125" ht="15.75" customHeight="1" s="22"/>
    <row r="126" ht="15.75" customHeight="1" s="22"/>
    <row r="127" ht="15.75" customHeight="1" s="22"/>
    <row r="128" ht="15.75" customHeight="1" s="22"/>
    <row r="129" ht="15.75" customHeight="1" s="22"/>
    <row r="130" ht="15.75" customHeight="1" s="22"/>
    <row r="131" ht="15.75" customHeight="1" s="22"/>
    <row r="132" ht="15.75" customHeight="1" s="22"/>
    <row r="133" ht="15.75" customHeight="1" s="22"/>
    <row r="134" ht="15.75" customHeight="1" s="22"/>
    <row r="135" ht="15.75" customHeight="1" s="22"/>
    <row r="136" ht="15.75" customHeight="1" s="22"/>
    <row r="137" ht="15.75" customHeight="1" s="22"/>
    <row r="138" ht="15.75" customHeight="1" s="22"/>
    <row r="139" ht="15.75" customHeight="1" s="22"/>
    <row r="140" ht="15.75" customHeight="1" s="22"/>
    <row r="141" ht="15.75" customHeight="1" s="22"/>
    <row r="142" ht="15.75" customHeight="1" s="22"/>
    <row r="143" ht="15.75" customHeight="1" s="22"/>
    <row r="144" ht="15.75" customHeight="1" s="22"/>
    <row r="145" ht="15.75" customHeight="1" s="22"/>
    <row r="146" ht="15.75" customHeight="1" s="22"/>
    <row r="147" ht="15.75" customHeight="1" s="22"/>
    <row r="148" ht="15.75" customHeight="1" s="22"/>
    <row r="149" ht="15.75" customHeight="1" s="22"/>
    <row r="150" ht="15.75" customHeight="1" s="22"/>
    <row r="151" ht="15.75" customHeight="1" s="22"/>
    <row r="152" ht="15.75" customHeight="1" s="22"/>
    <row r="153" ht="15.75" customHeight="1" s="22"/>
    <row r="154" ht="15.75" customHeight="1" s="22"/>
    <row r="155" ht="15.75" customHeight="1" s="22"/>
    <row r="156" ht="15.75" customHeight="1" s="22"/>
    <row r="157" ht="15.75" customHeight="1" s="22"/>
    <row r="158" ht="15.75" customHeight="1" s="22"/>
    <row r="159" ht="15.75" customHeight="1" s="22"/>
    <row r="160" ht="15.75" customHeight="1" s="22"/>
    <row r="161" ht="15.75" customHeight="1" s="22"/>
    <row r="162" ht="15.75" customHeight="1" s="22"/>
    <row r="163" ht="15.75" customHeight="1" s="22"/>
    <row r="164" ht="15.75" customHeight="1" s="22"/>
    <row r="165" ht="15.75" customHeight="1" s="22"/>
    <row r="166" ht="15.75" customHeight="1" s="22"/>
    <row r="167" ht="15.75" customHeight="1" s="22"/>
    <row r="168" ht="15.75" customHeight="1" s="22"/>
    <row r="169" ht="15.75" customHeight="1" s="22"/>
    <row r="170" ht="15.75" customHeight="1" s="22"/>
    <row r="171" ht="15.75" customHeight="1" s="22"/>
    <row r="172" ht="15.75" customHeight="1" s="22"/>
    <row r="173" ht="15.75" customHeight="1" s="22"/>
    <row r="174" ht="15.75" customHeight="1" s="22"/>
    <row r="175" ht="15.75" customHeight="1" s="22"/>
    <row r="176" ht="15.75" customHeight="1" s="22"/>
    <row r="177" ht="15.75" customHeight="1" s="22"/>
    <row r="178" ht="15.75" customHeight="1" s="22"/>
    <row r="179" ht="15.75" customHeight="1" s="22"/>
    <row r="180" ht="15.75" customHeight="1" s="22"/>
    <row r="181" ht="15.75" customHeight="1" s="22"/>
    <row r="182" ht="15.75" customHeight="1" s="22"/>
    <row r="183" ht="15.75" customHeight="1" s="22"/>
    <row r="184" ht="15.75" customHeight="1" s="22"/>
    <row r="185" ht="15.75" customHeight="1" s="22"/>
    <row r="186" ht="15.75" customHeight="1" s="22"/>
    <row r="187" ht="15.75" customHeight="1" s="22"/>
    <row r="188" ht="15.75" customHeight="1" s="22"/>
    <row r="189" ht="15.75" customHeight="1" s="22"/>
    <row r="190" ht="15.75" customHeight="1" s="22"/>
    <row r="191" ht="15.75" customHeight="1" s="22"/>
    <row r="192" ht="15.75" customHeight="1" s="22"/>
    <row r="193" ht="15.75" customHeight="1" s="22"/>
    <row r="194" ht="15.75" customHeight="1" s="22"/>
    <row r="195" ht="15.75" customHeight="1" s="22"/>
    <row r="196" ht="15.75" customHeight="1" s="22"/>
    <row r="197" ht="15.75" customHeight="1" s="22"/>
    <row r="198" ht="15.75" customHeight="1" s="22"/>
    <row r="199" ht="15.75" customHeight="1" s="22"/>
    <row r="200" ht="15.75" customHeight="1" s="22"/>
    <row r="201" ht="15.75" customHeight="1" s="22"/>
    <row r="202" ht="15.75" customHeight="1" s="22"/>
    <row r="203" ht="15.75" customHeight="1" s="22"/>
    <row r="204" ht="15.75" customHeight="1" s="22"/>
    <row r="205" ht="15.75" customHeight="1" s="22"/>
    <row r="206" ht="15.75" customHeight="1" s="22"/>
    <row r="207" ht="15.75" customHeight="1" s="22"/>
    <row r="208" ht="15.75" customHeight="1" s="22"/>
    <row r="209" ht="15.75" customHeight="1" s="22"/>
    <row r="210" ht="15.75" customHeight="1" s="22"/>
    <row r="211" ht="15.75" customHeight="1" s="22"/>
    <row r="212" ht="15.75" customHeight="1" s="22"/>
    <row r="213" ht="15.75" customHeight="1" s="22"/>
    <row r="214" ht="15.75" customHeight="1" s="22"/>
    <row r="215" ht="15.75" customHeight="1" s="22"/>
    <row r="216" ht="15.75" customHeight="1" s="22"/>
    <row r="217" ht="15.75" customHeight="1" s="22"/>
    <row r="218" ht="15.75" customHeight="1" s="22"/>
    <row r="219" ht="15.75" customHeight="1" s="22"/>
    <row r="220" ht="15.75" customHeight="1" s="22"/>
    <row r="221" ht="15.75" customHeight="1" s="22"/>
    <row r="222" ht="15.75" customHeight="1" s="22"/>
    <row r="223" ht="15.75" customHeight="1" s="22"/>
    <row r="224" ht="15.75" customHeight="1" s="22"/>
    <row r="225" ht="15.75" customHeight="1" s="22"/>
    <row r="226" ht="15.75" customHeight="1" s="22"/>
    <row r="227" ht="15.75" customHeight="1" s="22"/>
    <row r="228" ht="15.75" customHeight="1" s="22"/>
    <row r="229" ht="15.75" customHeight="1" s="22"/>
    <row r="230" ht="15.75" customHeight="1" s="22"/>
    <row r="231" ht="15.75" customHeight="1" s="22"/>
    <row r="232" ht="15.75" customHeight="1" s="22"/>
    <row r="233" ht="15.75" customHeight="1" s="22"/>
    <row r="234" ht="15.75" customHeight="1" s="22"/>
    <row r="235" ht="15.75" customHeight="1" s="22"/>
    <row r="236" ht="15.75" customHeight="1" s="22"/>
    <row r="237" ht="15.75" customHeight="1" s="22"/>
    <row r="238" ht="15.75" customHeight="1" s="22"/>
    <row r="239" ht="15.75" customHeight="1" s="22"/>
    <row r="240" ht="15.75" customHeight="1" s="22"/>
    <row r="241" ht="15.75" customHeight="1" s="22"/>
    <row r="242" ht="15.75" customHeight="1" s="22"/>
    <row r="243" ht="15.75" customHeight="1" s="22"/>
    <row r="244" ht="15.75" customHeight="1" s="22"/>
    <row r="245" ht="15.75" customHeight="1" s="22"/>
    <row r="246" ht="15.75" customHeight="1" s="22"/>
    <row r="247" ht="15.75" customHeight="1" s="22"/>
    <row r="248" ht="15.75" customHeight="1" s="22"/>
    <row r="249" ht="15.75" customHeight="1" s="22"/>
    <row r="250" ht="15.75" customHeight="1" s="22"/>
    <row r="251" ht="15.75" customHeight="1" s="22"/>
    <row r="252" ht="15.75" customHeight="1" s="22"/>
    <row r="253" ht="15.75" customHeight="1" s="22"/>
    <row r="254" ht="15.75" customHeight="1" s="22"/>
    <row r="255" ht="15.75" customHeight="1" s="22"/>
    <row r="256" ht="15.75" customHeight="1" s="22"/>
    <row r="257" ht="15.75" customHeight="1" s="22"/>
    <row r="258" ht="15.75" customHeight="1" s="22"/>
    <row r="259" ht="15.75" customHeight="1" s="22"/>
    <row r="260" ht="15.75" customHeight="1" s="22"/>
    <row r="261" ht="15.75" customHeight="1" s="22"/>
    <row r="262" ht="15.75" customHeight="1" s="22"/>
    <row r="263" ht="15.75" customHeight="1" s="22"/>
    <row r="264" ht="15.75" customHeight="1" s="22"/>
    <row r="265" ht="15.75" customHeight="1" s="22"/>
    <row r="266" ht="15.75" customHeight="1" s="22"/>
    <row r="267" ht="15.75" customHeight="1" s="22"/>
    <row r="268" ht="15.75" customHeight="1" s="22"/>
    <row r="269" ht="15.75" customHeight="1" s="22"/>
    <row r="270" ht="15.75" customHeight="1" s="22"/>
    <row r="271" ht="15.75" customHeight="1" s="22"/>
    <row r="272" ht="15.75" customHeight="1" s="22"/>
    <row r="273" ht="15.75" customHeight="1" s="22"/>
    <row r="274" ht="15.75" customHeight="1" s="22"/>
    <row r="275" ht="15.75" customHeight="1" s="22"/>
    <row r="276" ht="15.75" customHeight="1" s="22"/>
    <row r="277" ht="15.75" customHeight="1" s="22"/>
    <row r="278" ht="15.75" customHeight="1" s="22"/>
    <row r="279" ht="15.75" customHeight="1" s="22"/>
    <row r="280" ht="15.75" customHeight="1" s="22"/>
    <row r="281" ht="15.75" customHeight="1" s="22"/>
    <row r="282" ht="15.75" customHeight="1" s="22"/>
    <row r="283" ht="15.75" customHeight="1" s="22"/>
    <row r="284" ht="15.75" customHeight="1" s="22"/>
    <row r="285" ht="15.75" customHeight="1" s="22"/>
    <row r="286" ht="15.75" customHeight="1" s="22"/>
    <row r="287" ht="15.75" customHeight="1" s="22"/>
    <row r="288" ht="15.75" customHeight="1" s="22"/>
    <row r="289" ht="15.75" customHeight="1" s="22"/>
    <row r="290" ht="15.75" customHeight="1" s="22"/>
    <row r="291" ht="15.75" customHeight="1" s="22"/>
    <row r="292" ht="15.75" customHeight="1" s="22"/>
    <row r="293" ht="15.75" customHeight="1" s="22"/>
    <row r="294" ht="15.75" customHeight="1" s="22"/>
    <row r="295" ht="15.75" customHeight="1" s="22"/>
    <row r="296" ht="15.75" customHeight="1" s="22"/>
    <row r="297" ht="15.75" customHeight="1" s="22"/>
    <row r="298" ht="15.75" customHeight="1" s="22"/>
    <row r="299" ht="15.75" customHeight="1" s="22"/>
    <row r="300" ht="15.75" customHeight="1" s="22"/>
    <row r="301" ht="15.75" customHeight="1" s="22"/>
    <row r="302" ht="15.75" customHeight="1" s="22"/>
    <row r="303" ht="15.75" customHeight="1" s="22"/>
    <row r="304" ht="15.75" customHeight="1" s="22"/>
    <row r="305" ht="15.75" customHeight="1" s="22"/>
    <row r="306" ht="15.75" customHeight="1" s="22"/>
    <row r="307" ht="15.75" customHeight="1" s="22"/>
    <row r="308" ht="15.75" customHeight="1" s="22"/>
    <row r="309" ht="15.75" customHeight="1" s="22"/>
    <row r="310" ht="15.75" customHeight="1" s="22"/>
    <row r="311" ht="15.75" customHeight="1" s="22"/>
    <row r="312" ht="15.75" customHeight="1" s="22"/>
    <row r="313" ht="15.75" customHeight="1" s="22"/>
    <row r="314" ht="15.75" customHeight="1" s="22"/>
    <row r="315" ht="15.75" customHeight="1" s="22"/>
    <row r="316" ht="15.75" customHeight="1" s="22"/>
    <row r="317" ht="15.75" customHeight="1" s="22"/>
    <row r="318" ht="15.75" customHeight="1" s="22"/>
    <row r="319" ht="15.75" customHeight="1" s="22"/>
    <row r="320" ht="15.75" customHeight="1" s="22"/>
    <row r="321" ht="15.75" customHeight="1" s="22"/>
    <row r="322" ht="15.75" customHeight="1" s="22"/>
    <row r="323" ht="15.75" customHeight="1" s="22"/>
    <row r="324" ht="15.75" customHeight="1" s="22"/>
    <row r="325" ht="15.75" customHeight="1" s="22"/>
    <row r="326" ht="15.75" customHeight="1" s="22"/>
    <row r="327" ht="15.75" customHeight="1" s="22"/>
    <row r="328" ht="15.75" customHeight="1" s="22"/>
    <row r="329" ht="15.75" customHeight="1" s="22"/>
    <row r="330" ht="15.75" customHeight="1" s="22"/>
    <row r="331" ht="15.75" customHeight="1" s="22"/>
    <row r="332" ht="15.75" customHeight="1" s="22"/>
    <row r="333" ht="15.75" customHeight="1" s="22"/>
    <row r="334" ht="15.75" customHeight="1" s="22"/>
    <row r="335" ht="15.75" customHeight="1" s="22"/>
    <row r="336" ht="15.75" customHeight="1" s="22"/>
    <row r="337" ht="15.75" customHeight="1" s="22"/>
    <row r="338" ht="15.75" customHeight="1" s="22"/>
    <row r="339" ht="15.75" customHeight="1" s="22"/>
    <row r="340" ht="15.75" customHeight="1" s="22"/>
    <row r="341" ht="15.75" customHeight="1" s="22"/>
    <row r="342" ht="15.75" customHeight="1" s="22"/>
    <row r="343" ht="15.75" customHeight="1" s="22"/>
    <row r="344" ht="15.75" customHeight="1" s="22"/>
    <row r="345" ht="15.75" customHeight="1" s="22"/>
    <row r="346" ht="15.75" customHeight="1" s="22"/>
    <row r="347" ht="15.75" customHeight="1" s="22"/>
    <row r="348" ht="15.75" customHeight="1" s="22"/>
    <row r="349" ht="15.75" customHeight="1" s="22"/>
    <row r="350" ht="15.75" customHeight="1" s="22"/>
    <row r="351" ht="15.75" customHeight="1" s="22"/>
    <row r="352" ht="15.75" customHeight="1" s="22"/>
    <row r="353" ht="15.75" customHeight="1" s="22"/>
    <row r="354" ht="15.75" customHeight="1" s="22"/>
    <row r="355" ht="15.75" customHeight="1" s="22"/>
    <row r="356" ht="15.75" customHeight="1" s="22"/>
    <row r="357" ht="15.75" customHeight="1" s="22"/>
    <row r="358" ht="15.75" customHeight="1" s="22"/>
    <row r="359" ht="15.75" customHeight="1" s="22"/>
    <row r="360" ht="15.75" customHeight="1" s="22"/>
    <row r="361" ht="15.75" customHeight="1" s="22"/>
    <row r="362" ht="15.75" customHeight="1" s="22"/>
    <row r="363" ht="15.75" customHeight="1" s="22"/>
    <row r="364" ht="15.75" customHeight="1" s="22"/>
    <row r="365" ht="15.75" customHeight="1" s="22"/>
    <row r="366" ht="15.75" customHeight="1" s="22"/>
    <row r="367" ht="15.75" customHeight="1" s="22"/>
    <row r="368" ht="15.75" customHeight="1" s="22"/>
    <row r="369" ht="15.75" customHeight="1" s="22"/>
    <row r="370" ht="15.75" customHeight="1" s="22"/>
    <row r="371" ht="15.75" customHeight="1" s="22"/>
    <row r="372" ht="15.75" customHeight="1" s="22"/>
    <row r="373" ht="15.75" customHeight="1" s="22"/>
    <row r="374" ht="15.75" customHeight="1" s="22"/>
    <row r="375" ht="15.75" customHeight="1" s="22"/>
    <row r="376" ht="15.75" customHeight="1" s="22"/>
    <row r="377" ht="15.75" customHeight="1" s="22"/>
    <row r="378" ht="15.75" customHeight="1" s="22"/>
    <row r="379" ht="15.75" customHeight="1" s="22"/>
    <row r="380" ht="15.75" customHeight="1" s="22"/>
    <row r="381" ht="15.75" customHeight="1" s="22"/>
    <row r="382" ht="15.75" customHeight="1" s="22"/>
    <row r="383" ht="15.75" customHeight="1" s="22"/>
    <row r="384" ht="15.75" customHeight="1" s="22"/>
    <row r="385" ht="15.75" customHeight="1" s="22"/>
    <row r="386" ht="15.75" customHeight="1" s="22"/>
    <row r="387" ht="15.75" customHeight="1" s="22"/>
    <row r="388" ht="15.75" customHeight="1" s="22"/>
    <row r="389" ht="15.75" customHeight="1" s="22"/>
    <row r="390" ht="15.75" customHeight="1" s="22"/>
    <row r="391" ht="15.75" customHeight="1" s="22"/>
    <row r="392" ht="15.75" customHeight="1" s="22"/>
    <row r="393" ht="15.75" customHeight="1" s="22"/>
    <row r="394" ht="15.75" customHeight="1" s="22"/>
    <row r="395" ht="15.75" customHeight="1" s="22"/>
    <row r="396" ht="15.75" customHeight="1" s="22"/>
    <row r="397" ht="15.75" customHeight="1" s="22"/>
    <row r="398" ht="15.75" customHeight="1" s="22"/>
    <row r="399" ht="15.75" customHeight="1" s="22"/>
    <row r="400" ht="15.75" customHeight="1" s="22"/>
    <row r="401" ht="15.75" customHeight="1" s="22"/>
    <row r="402" ht="15.75" customHeight="1" s="22"/>
    <row r="403" ht="15.75" customHeight="1" s="22"/>
    <row r="404" ht="15.75" customHeight="1" s="22"/>
    <row r="405" ht="15.75" customHeight="1" s="22"/>
    <row r="406" ht="15.75" customHeight="1" s="22"/>
    <row r="407" ht="15.75" customHeight="1" s="22"/>
    <row r="408" ht="15.75" customHeight="1" s="22"/>
    <row r="409" ht="15.75" customHeight="1" s="22"/>
    <row r="410" ht="15.75" customHeight="1" s="22"/>
    <row r="411" ht="15.75" customHeight="1" s="22"/>
    <row r="412" ht="15.75" customHeight="1" s="22"/>
    <row r="413" ht="15.75" customHeight="1" s="22"/>
    <row r="414" ht="15.75" customHeight="1" s="22"/>
    <row r="415" ht="15.75" customHeight="1" s="22"/>
    <row r="416" ht="15.75" customHeight="1" s="22"/>
    <row r="417" ht="15.75" customHeight="1" s="22"/>
    <row r="418" ht="15.75" customHeight="1" s="22"/>
    <row r="419" ht="15.75" customHeight="1" s="22"/>
    <row r="420" ht="15.75" customHeight="1" s="22"/>
    <row r="421" ht="15.75" customHeight="1" s="22"/>
    <row r="422" ht="15.75" customHeight="1" s="22"/>
    <row r="423" ht="15.75" customHeight="1" s="22"/>
    <row r="424" ht="15.75" customHeight="1" s="22"/>
    <row r="425" ht="15.75" customHeight="1" s="22"/>
    <row r="426" ht="15.75" customHeight="1" s="22"/>
    <row r="427" ht="15.75" customHeight="1" s="22"/>
    <row r="428" ht="15.75" customHeight="1" s="22"/>
    <row r="429" ht="15.75" customHeight="1" s="22"/>
    <row r="430" ht="15.75" customHeight="1" s="22"/>
    <row r="431" ht="15.75" customHeight="1" s="22"/>
    <row r="432" ht="15.75" customHeight="1" s="22"/>
    <row r="433" ht="15.75" customHeight="1" s="22"/>
    <row r="434" ht="15.75" customHeight="1" s="22"/>
    <row r="435" ht="15.75" customHeight="1" s="22"/>
    <row r="436" ht="15.75" customHeight="1" s="22"/>
    <row r="437" ht="15.75" customHeight="1" s="22"/>
    <row r="438" ht="15.75" customHeight="1" s="22"/>
    <row r="439" ht="15.75" customHeight="1" s="22"/>
    <row r="440" ht="15.75" customHeight="1" s="22"/>
    <row r="441" ht="15.75" customHeight="1" s="22"/>
    <row r="442" ht="15.75" customHeight="1" s="22"/>
    <row r="443" ht="15.75" customHeight="1" s="22"/>
    <row r="444" ht="15.75" customHeight="1" s="22"/>
    <row r="445" ht="15.75" customHeight="1" s="22"/>
    <row r="446" ht="15.75" customHeight="1" s="22"/>
    <row r="447" ht="15.75" customHeight="1" s="22"/>
    <row r="448" ht="15.75" customHeight="1" s="22"/>
    <row r="449" ht="15.75" customHeight="1" s="22"/>
    <row r="450" ht="15.75" customHeight="1" s="22"/>
    <row r="451" ht="15.75" customHeight="1" s="22"/>
    <row r="452" ht="15.75" customHeight="1" s="22"/>
    <row r="453" ht="15.75" customHeight="1" s="22"/>
    <row r="454" ht="15.75" customHeight="1" s="22"/>
    <row r="455" ht="15.75" customHeight="1" s="22"/>
    <row r="456" ht="15.75" customHeight="1" s="22"/>
    <row r="457" ht="15.75" customHeight="1" s="22"/>
    <row r="458" ht="15.75" customHeight="1" s="22"/>
    <row r="459" ht="15.75" customHeight="1" s="22"/>
    <row r="460" ht="15.75" customHeight="1" s="22"/>
    <row r="461" ht="15.75" customHeight="1" s="22"/>
    <row r="462" ht="15.75" customHeight="1" s="22"/>
    <row r="463" ht="15.75" customHeight="1" s="22"/>
    <row r="464" ht="15.75" customHeight="1" s="22"/>
    <row r="465" ht="15.75" customHeight="1" s="22"/>
    <row r="466" ht="15.75" customHeight="1" s="22"/>
    <row r="467" ht="15.75" customHeight="1" s="22"/>
    <row r="468" ht="15.75" customHeight="1" s="22"/>
    <row r="469" ht="15.75" customHeight="1" s="22"/>
    <row r="470" ht="15.75" customHeight="1" s="22"/>
    <row r="471" ht="15.75" customHeight="1" s="22"/>
    <row r="472" ht="15.75" customHeight="1" s="22"/>
    <row r="473" ht="15.75" customHeight="1" s="22"/>
    <row r="474" ht="15.75" customHeight="1" s="22"/>
    <row r="475" ht="15.75" customHeight="1" s="22"/>
    <row r="476" ht="15.75" customHeight="1" s="22"/>
    <row r="477" ht="15.75" customHeight="1" s="22"/>
    <row r="478" ht="15.75" customHeight="1" s="22"/>
    <row r="479" ht="15.75" customHeight="1" s="22"/>
    <row r="480" ht="15.75" customHeight="1" s="22"/>
    <row r="481" ht="15.75" customHeight="1" s="22"/>
    <row r="482" ht="15.75" customHeight="1" s="22"/>
    <row r="483" ht="15.75" customHeight="1" s="22"/>
    <row r="484" ht="15.75" customHeight="1" s="22"/>
    <row r="485" ht="15.75" customHeight="1" s="22"/>
    <row r="486" ht="15.75" customHeight="1" s="22"/>
    <row r="487" ht="15.75" customHeight="1" s="22"/>
    <row r="488" ht="15.75" customHeight="1" s="22"/>
    <row r="489" ht="15.75" customHeight="1" s="22"/>
    <row r="490" ht="15.75" customHeight="1" s="22"/>
    <row r="491" ht="15.75" customHeight="1" s="22"/>
    <row r="492" ht="15.75" customHeight="1" s="22"/>
    <row r="493" ht="15.75" customHeight="1" s="22"/>
    <row r="494" ht="15.75" customHeight="1" s="22"/>
    <row r="495" ht="15.75" customHeight="1" s="22"/>
    <row r="496" ht="15.75" customHeight="1" s="22"/>
    <row r="497" ht="15.75" customHeight="1" s="22"/>
    <row r="498" ht="15.75" customHeight="1" s="22"/>
    <row r="499" ht="15.75" customHeight="1" s="22"/>
    <row r="500" ht="15.75" customHeight="1" s="22"/>
    <row r="501" ht="15.75" customHeight="1" s="22"/>
    <row r="502" ht="15.75" customHeight="1" s="22"/>
    <row r="503" ht="15.75" customHeight="1" s="22"/>
    <row r="504" ht="15.75" customHeight="1" s="22"/>
    <row r="505" ht="15.75" customHeight="1" s="22"/>
    <row r="506" ht="15.75" customHeight="1" s="22"/>
    <row r="507" ht="15.75" customHeight="1" s="22"/>
    <row r="508" ht="15.75" customHeight="1" s="22"/>
    <row r="509" ht="15.75" customHeight="1" s="22"/>
    <row r="510" ht="15.75" customHeight="1" s="22"/>
    <row r="511" ht="15.75" customHeight="1" s="22"/>
    <row r="512" ht="15.75" customHeight="1" s="22"/>
    <row r="513" ht="15.75" customHeight="1" s="22"/>
    <row r="514" ht="15.75" customHeight="1" s="22"/>
    <row r="515" ht="15.75" customHeight="1" s="22"/>
    <row r="516" ht="15.75" customHeight="1" s="22"/>
    <row r="517" ht="15.75" customHeight="1" s="22"/>
    <row r="518" ht="15.75" customHeight="1" s="22"/>
    <row r="519" ht="15.75" customHeight="1" s="22"/>
    <row r="520" ht="15.75" customHeight="1" s="22"/>
    <row r="521" ht="15.75" customHeight="1" s="22"/>
    <row r="522" ht="15.75" customHeight="1" s="22"/>
    <row r="523" ht="15.75" customHeight="1" s="22"/>
    <row r="524" ht="15.75" customHeight="1" s="22"/>
    <row r="525" ht="15.75" customHeight="1" s="22"/>
    <row r="526" ht="15.75" customHeight="1" s="22"/>
    <row r="527" ht="15.75" customHeight="1" s="22"/>
    <row r="528" ht="15.75" customHeight="1" s="22"/>
    <row r="529" ht="15.75" customHeight="1" s="22"/>
    <row r="530" ht="15.75" customHeight="1" s="22"/>
    <row r="531" ht="15.75" customHeight="1" s="22"/>
    <row r="532" ht="15.75" customHeight="1" s="22"/>
    <row r="533" ht="15.75" customHeight="1" s="22"/>
    <row r="534" ht="15.75" customHeight="1" s="22"/>
    <row r="535" ht="15.75" customHeight="1" s="22"/>
    <row r="536" ht="15.75" customHeight="1" s="22"/>
    <row r="537" ht="15.75" customHeight="1" s="22"/>
    <row r="538" ht="15.75" customHeight="1" s="22"/>
    <row r="539" ht="15.75" customHeight="1" s="22"/>
    <row r="540" ht="15.75" customHeight="1" s="22"/>
    <row r="541" ht="15.75" customHeight="1" s="22"/>
    <row r="542" ht="15.75" customHeight="1" s="22"/>
    <row r="543" ht="15.75" customHeight="1" s="22"/>
    <row r="544" ht="15.75" customHeight="1" s="22"/>
    <row r="545" ht="15.75" customHeight="1" s="22"/>
    <row r="546" ht="15.75" customHeight="1" s="22"/>
    <row r="547" ht="15.75" customHeight="1" s="22"/>
    <row r="548" ht="15.75" customHeight="1" s="22"/>
    <row r="549" ht="15.75" customHeight="1" s="22"/>
    <row r="550" ht="15.75" customHeight="1" s="22"/>
    <row r="551" ht="15.75" customHeight="1" s="22"/>
    <row r="552" ht="15.75" customHeight="1" s="22"/>
    <row r="553" ht="15.75" customHeight="1" s="22"/>
    <row r="554" ht="15.75" customHeight="1" s="22"/>
    <row r="555" ht="15.75" customHeight="1" s="22"/>
    <row r="556" ht="15.75" customHeight="1" s="22"/>
    <row r="557" ht="15.75" customHeight="1" s="22"/>
    <row r="558" ht="15.75" customHeight="1" s="22"/>
    <row r="559" ht="15.75" customHeight="1" s="22"/>
    <row r="560" ht="15.75" customHeight="1" s="22"/>
    <row r="561" ht="15.75" customHeight="1" s="22"/>
    <row r="562" ht="15.75" customHeight="1" s="22"/>
    <row r="563" ht="15.75" customHeight="1" s="22"/>
    <row r="564" ht="15.75" customHeight="1" s="22"/>
    <row r="565" ht="15.75" customHeight="1" s="22"/>
    <row r="566" ht="15.75" customHeight="1" s="22"/>
    <row r="567" ht="15.75" customHeight="1" s="22"/>
    <row r="568" ht="15.75" customHeight="1" s="22"/>
    <row r="569" ht="15.75" customHeight="1" s="22"/>
    <row r="570" ht="15.75" customHeight="1" s="22"/>
    <row r="571" ht="15.75" customHeight="1" s="22"/>
    <row r="572" ht="15.75" customHeight="1" s="22"/>
    <row r="573" ht="15.75" customHeight="1" s="22"/>
    <row r="574" ht="15.75" customHeight="1" s="22"/>
    <row r="575" ht="15.75" customHeight="1" s="22"/>
    <row r="576" ht="15.75" customHeight="1" s="22"/>
    <row r="577" ht="15.75" customHeight="1" s="22"/>
    <row r="578" ht="15.75" customHeight="1" s="22"/>
    <row r="579" ht="15.75" customHeight="1" s="22"/>
    <row r="580" ht="15.75" customHeight="1" s="22"/>
    <row r="581" ht="15.75" customHeight="1" s="22"/>
    <row r="582" ht="15.75" customHeight="1" s="22"/>
    <row r="583" ht="15.75" customHeight="1" s="22"/>
    <row r="584" ht="15.75" customHeight="1" s="22"/>
    <row r="585" ht="15.75" customHeight="1" s="22"/>
    <row r="586" ht="15.75" customHeight="1" s="22"/>
    <row r="587" ht="15.75" customHeight="1" s="22"/>
    <row r="588" ht="15.75" customHeight="1" s="22"/>
    <row r="589" ht="15.75" customHeight="1" s="22"/>
    <row r="590" ht="15.75" customHeight="1" s="22"/>
    <row r="591" ht="15.75" customHeight="1" s="22"/>
    <row r="592" ht="15.75" customHeight="1" s="22"/>
    <row r="593" ht="15.75" customHeight="1" s="22"/>
    <row r="594" ht="15.75" customHeight="1" s="22"/>
    <row r="595" ht="15.75" customHeight="1" s="22"/>
    <row r="596" ht="15.75" customHeight="1" s="22"/>
    <row r="597" ht="15.75" customHeight="1" s="22"/>
    <row r="598" ht="15.75" customHeight="1" s="22"/>
    <row r="599" ht="15.75" customHeight="1" s="22"/>
    <row r="600" ht="15.75" customHeight="1" s="22"/>
    <row r="601" ht="15.75" customHeight="1" s="22"/>
    <row r="602" ht="15.75" customHeight="1" s="22"/>
    <row r="603" ht="15.75" customHeight="1" s="22"/>
    <row r="604" ht="15.75" customHeight="1" s="22"/>
    <row r="605" ht="15.75" customHeight="1" s="22"/>
    <row r="606" ht="15.75" customHeight="1" s="22"/>
    <row r="607" ht="15.75" customHeight="1" s="22"/>
    <row r="608" ht="15.75" customHeight="1" s="22"/>
    <row r="609" ht="15.75" customHeight="1" s="22"/>
    <row r="610" ht="15.75" customHeight="1" s="22"/>
    <row r="611" ht="15.75" customHeight="1" s="22"/>
    <row r="612" ht="15.75" customHeight="1" s="22"/>
    <row r="613" ht="15.75" customHeight="1" s="22"/>
    <row r="614" ht="15.75" customHeight="1" s="22"/>
    <row r="615" ht="15.75" customHeight="1" s="22"/>
    <row r="616" ht="15.75" customHeight="1" s="22"/>
    <row r="617" ht="15.75" customHeight="1" s="22"/>
    <row r="618" ht="15.75" customHeight="1" s="22"/>
    <row r="619" ht="15.75" customHeight="1" s="22"/>
    <row r="620" ht="15.75" customHeight="1" s="22"/>
    <row r="621" ht="15.75" customHeight="1" s="22"/>
    <row r="622" ht="15.75" customHeight="1" s="22"/>
    <row r="623" ht="15.75" customHeight="1" s="22"/>
    <row r="624" ht="15.75" customHeight="1" s="22"/>
    <row r="625" ht="15.75" customHeight="1" s="22"/>
    <row r="626" ht="15.75" customHeight="1" s="22"/>
    <row r="627" ht="15.75" customHeight="1" s="22"/>
    <row r="628" ht="15.75" customHeight="1" s="22"/>
    <row r="629" ht="15.75" customHeight="1" s="22"/>
    <row r="630" ht="15.75" customHeight="1" s="22"/>
    <row r="631" ht="15.75" customHeight="1" s="22"/>
    <row r="632" ht="15.75" customHeight="1" s="22"/>
    <row r="633" ht="15.75" customHeight="1" s="22"/>
    <row r="634" ht="15.75" customHeight="1" s="22"/>
    <row r="635" ht="15.75" customHeight="1" s="22"/>
    <row r="636" ht="15.75" customHeight="1" s="22"/>
    <row r="637" ht="15.75" customHeight="1" s="22"/>
    <row r="638" ht="15.75" customHeight="1" s="22"/>
    <row r="639" ht="15.75" customHeight="1" s="22"/>
    <row r="640" ht="15.75" customHeight="1" s="22"/>
    <row r="641" ht="15.75" customHeight="1" s="22"/>
    <row r="642" ht="15.75" customHeight="1" s="22"/>
    <row r="643" ht="15.75" customHeight="1" s="22"/>
    <row r="644" ht="15.75" customHeight="1" s="22"/>
    <row r="645" ht="15.75" customHeight="1" s="22"/>
    <row r="646" ht="15.75" customHeight="1" s="22"/>
    <row r="647" ht="15.75" customHeight="1" s="22"/>
    <row r="648" ht="15.75" customHeight="1" s="22"/>
    <row r="649" ht="15.75" customHeight="1" s="22"/>
    <row r="650" ht="15.75" customHeight="1" s="22"/>
    <row r="651" ht="15.75" customHeight="1" s="22"/>
    <row r="652" ht="15.75" customHeight="1" s="22"/>
    <row r="653" ht="15.75" customHeight="1" s="22"/>
    <row r="654" ht="15.75" customHeight="1" s="22"/>
    <row r="655" ht="15.75" customHeight="1" s="22"/>
    <row r="656" ht="15.75" customHeight="1" s="22"/>
    <row r="657" ht="15.75" customHeight="1" s="22"/>
    <row r="658" ht="15.75" customHeight="1" s="22"/>
    <row r="659" ht="15.75" customHeight="1" s="22"/>
    <row r="660" ht="15.75" customHeight="1" s="22"/>
    <row r="661" ht="15.75" customHeight="1" s="22"/>
    <row r="662" ht="15.75" customHeight="1" s="22"/>
    <row r="663" ht="15.75" customHeight="1" s="22"/>
    <row r="664" ht="15.75" customHeight="1" s="22"/>
    <row r="665" ht="15.75" customHeight="1" s="22"/>
    <row r="666" ht="15.75" customHeight="1" s="22"/>
    <row r="667" ht="15.75" customHeight="1" s="22"/>
    <row r="668" ht="15.75" customHeight="1" s="22"/>
    <row r="669" ht="15.75" customHeight="1" s="22"/>
    <row r="670" ht="15.75" customHeight="1" s="22"/>
    <row r="671" ht="15.75" customHeight="1" s="22"/>
    <row r="672" ht="15.75" customHeight="1" s="22"/>
    <row r="673" ht="15.75" customHeight="1" s="22"/>
    <row r="674" ht="15.75" customHeight="1" s="22"/>
    <row r="675" ht="15.75" customHeight="1" s="22"/>
    <row r="676" ht="15.75" customHeight="1" s="22"/>
    <row r="677" ht="15.75" customHeight="1" s="22"/>
    <row r="678" ht="15.75" customHeight="1" s="22"/>
    <row r="679" ht="15.75" customHeight="1" s="22"/>
    <row r="680" ht="15.75" customHeight="1" s="22"/>
    <row r="681" ht="15.75" customHeight="1" s="22"/>
    <row r="682" ht="15.75" customHeight="1" s="22"/>
    <row r="683" ht="15.75" customHeight="1" s="22"/>
    <row r="684" ht="15.75" customHeight="1" s="22"/>
    <row r="685" ht="15.75" customHeight="1" s="22"/>
    <row r="686" ht="15.75" customHeight="1" s="22"/>
    <row r="687" ht="15.75" customHeight="1" s="22"/>
    <row r="688" ht="15.75" customHeight="1" s="22"/>
    <row r="689" ht="15.75" customHeight="1" s="22"/>
    <row r="690" ht="15.75" customHeight="1" s="22"/>
    <row r="691" ht="15.75" customHeight="1" s="22"/>
    <row r="692" ht="15.75" customHeight="1" s="22"/>
    <row r="693" ht="15.75" customHeight="1" s="22"/>
    <row r="694" ht="15.75" customHeight="1" s="22"/>
    <row r="695" ht="15.75" customHeight="1" s="22"/>
    <row r="696" ht="15.75" customHeight="1" s="22"/>
    <row r="697" ht="15.75" customHeight="1" s="22"/>
    <row r="698" ht="15.75" customHeight="1" s="22"/>
    <row r="699" ht="15.75" customHeight="1" s="22"/>
    <row r="700" ht="15.75" customHeight="1" s="22"/>
    <row r="701" ht="15.75" customHeight="1" s="22"/>
    <row r="702" ht="15.75" customHeight="1" s="22"/>
    <row r="703" ht="15.75" customHeight="1" s="22"/>
    <row r="704" ht="15.75" customHeight="1" s="22"/>
    <row r="705" ht="15.75" customHeight="1" s="22"/>
    <row r="706" ht="15.75" customHeight="1" s="22"/>
    <row r="707" ht="15.75" customHeight="1" s="22"/>
    <row r="708" ht="15.75" customHeight="1" s="22"/>
    <row r="709" ht="15.75" customHeight="1" s="22"/>
    <row r="710" ht="15.75" customHeight="1" s="22"/>
    <row r="711" ht="15.75" customHeight="1" s="22"/>
    <row r="712" ht="15.75" customHeight="1" s="22"/>
    <row r="713" ht="15.75" customHeight="1" s="22"/>
    <row r="714" ht="15.75" customHeight="1" s="22"/>
    <row r="715" ht="15.75" customHeight="1" s="22"/>
    <row r="716" ht="15.75" customHeight="1" s="22"/>
    <row r="717" ht="15.75" customHeight="1" s="22"/>
    <row r="718" ht="15.75" customHeight="1" s="22"/>
    <row r="719" ht="15.75" customHeight="1" s="22"/>
    <row r="720" ht="15.75" customHeight="1" s="22"/>
    <row r="721" ht="15.75" customHeight="1" s="22"/>
    <row r="722" ht="15.75" customHeight="1" s="22"/>
    <row r="723" ht="15.75" customHeight="1" s="22"/>
    <row r="724" ht="15.75" customHeight="1" s="22"/>
    <row r="725" ht="15.75" customHeight="1" s="22"/>
    <row r="726" ht="15.75" customHeight="1" s="22"/>
    <row r="727" ht="15.75" customHeight="1" s="22"/>
    <row r="728" ht="15.75" customHeight="1" s="22"/>
    <row r="729" ht="15.75" customHeight="1" s="22"/>
    <row r="730" ht="15.75" customHeight="1" s="22"/>
    <row r="731" ht="15.75" customHeight="1" s="22"/>
    <row r="732" ht="15.75" customHeight="1" s="22"/>
    <row r="733" ht="15.75" customHeight="1" s="22"/>
    <row r="734" ht="15.75" customHeight="1" s="22"/>
    <row r="735" ht="15.75" customHeight="1" s="22"/>
    <row r="736" ht="15.75" customHeight="1" s="22"/>
    <row r="737" ht="15.75" customHeight="1" s="22"/>
    <row r="738" ht="15.75" customHeight="1" s="22"/>
    <row r="739" ht="15.75" customHeight="1" s="22"/>
    <row r="740" ht="15.75" customHeight="1" s="22"/>
    <row r="741" ht="15.75" customHeight="1" s="22"/>
    <row r="742" ht="15.75" customHeight="1" s="22"/>
    <row r="743" ht="15.75" customHeight="1" s="22"/>
    <row r="744" ht="15.75" customHeight="1" s="22"/>
    <row r="745" ht="15.75" customHeight="1" s="22"/>
    <row r="746" ht="15.75" customHeight="1" s="22"/>
    <row r="747" ht="15.75" customHeight="1" s="22"/>
    <row r="748" ht="15.75" customHeight="1" s="22"/>
    <row r="749" ht="15.75" customHeight="1" s="22"/>
    <row r="750" ht="15.75" customHeight="1" s="22"/>
    <row r="751" ht="15.75" customHeight="1" s="22"/>
    <row r="752" ht="15.75" customHeight="1" s="22"/>
    <row r="753" ht="15.75" customHeight="1" s="22"/>
    <row r="754" ht="15.75" customHeight="1" s="22"/>
    <row r="755" ht="15.75" customHeight="1" s="22"/>
    <row r="756" ht="15.75" customHeight="1" s="22"/>
    <row r="757" ht="15.75" customHeight="1" s="22"/>
    <row r="758" ht="15.75" customHeight="1" s="22"/>
    <row r="759" ht="15.75" customHeight="1" s="22"/>
    <row r="760" ht="15.75" customHeight="1" s="22"/>
    <row r="761" ht="15.75" customHeight="1" s="22"/>
    <row r="762" ht="15.75" customHeight="1" s="22"/>
    <row r="763" ht="15.75" customHeight="1" s="22"/>
    <row r="764" ht="15.75" customHeight="1" s="22"/>
    <row r="765" ht="15.75" customHeight="1" s="22"/>
    <row r="766" ht="15.75" customHeight="1" s="22"/>
    <row r="767" ht="15.75" customHeight="1" s="22"/>
    <row r="768" ht="15.75" customHeight="1" s="22"/>
    <row r="769" ht="15.75" customHeight="1" s="22"/>
    <row r="770" ht="15.75" customHeight="1" s="22"/>
    <row r="771" ht="15.75" customHeight="1" s="22"/>
    <row r="772" ht="15.75" customHeight="1" s="22"/>
    <row r="773" ht="15.75" customHeight="1" s="22"/>
    <row r="774" ht="15.75" customHeight="1" s="22"/>
    <row r="775" ht="15.75" customHeight="1" s="22"/>
    <row r="776" ht="15.75" customHeight="1" s="22"/>
    <row r="777" ht="15.75" customHeight="1" s="22"/>
    <row r="778" ht="15.75" customHeight="1" s="22"/>
    <row r="779" ht="15.75" customHeight="1" s="22"/>
    <row r="780" ht="15.75" customHeight="1" s="22"/>
    <row r="781" ht="15.75" customHeight="1" s="22"/>
    <row r="782" ht="15.75" customHeight="1" s="22"/>
    <row r="783" ht="15.75" customHeight="1" s="22"/>
    <row r="784" ht="15.75" customHeight="1" s="22"/>
    <row r="785" ht="15.75" customHeight="1" s="22"/>
    <row r="786" ht="15.75" customHeight="1" s="22"/>
    <row r="787" ht="15.75" customHeight="1" s="22"/>
    <row r="788" ht="15.75" customHeight="1" s="22"/>
    <row r="789" ht="15.75" customHeight="1" s="22"/>
    <row r="790" ht="15.75" customHeight="1" s="22"/>
    <row r="791" ht="15.75" customHeight="1" s="22"/>
    <row r="792" ht="15.75" customHeight="1" s="22"/>
    <row r="793" ht="15.75" customHeight="1" s="22"/>
    <row r="794" ht="15.75" customHeight="1" s="22"/>
    <row r="795" ht="15.75" customHeight="1" s="22"/>
    <row r="796" ht="15.75" customHeight="1" s="22"/>
    <row r="797" ht="15.75" customHeight="1" s="22"/>
    <row r="798" ht="15.75" customHeight="1" s="22"/>
    <row r="799" ht="15.75" customHeight="1" s="22"/>
    <row r="800" ht="15.75" customHeight="1" s="22"/>
    <row r="801" ht="15.75" customHeight="1" s="22"/>
    <row r="802" ht="15.75" customHeight="1" s="22"/>
    <row r="803" ht="15.75" customHeight="1" s="22"/>
    <row r="804" ht="15.75" customHeight="1" s="22"/>
    <row r="805" ht="15.75" customHeight="1" s="22"/>
    <row r="806" ht="15.75" customHeight="1" s="22"/>
    <row r="807" ht="15.75" customHeight="1" s="22"/>
    <row r="808" ht="15.75" customHeight="1" s="22"/>
    <row r="809" ht="15.75" customHeight="1" s="22"/>
    <row r="810" ht="15.75" customHeight="1" s="22"/>
    <row r="811" ht="15.75" customHeight="1" s="22"/>
    <row r="812" ht="15.75" customHeight="1" s="22"/>
    <row r="813" ht="15.75" customHeight="1" s="22"/>
    <row r="814" ht="15.75" customHeight="1" s="22"/>
    <row r="815" ht="15.75" customHeight="1" s="22"/>
    <row r="816" ht="15.75" customHeight="1" s="22"/>
    <row r="817" ht="15.75" customHeight="1" s="22"/>
    <row r="818" ht="15.75" customHeight="1" s="22"/>
    <row r="819" ht="15.75" customHeight="1" s="22"/>
    <row r="820" ht="15.75" customHeight="1" s="22"/>
    <row r="821" ht="15.75" customHeight="1" s="22"/>
    <row r="822" ht="15.75" customHeight="1" s="22"/>
    <row r="823" ht="15.75" customHeight="1" s="22"/>
    <row r="824" ht="15.75" customHeight="1" s="22"/>
    <row r="825" ht="15.75" customHeight="1" s="22"/>
    <row r="826" ht="15.75" customHeight="1" s="22"/>
    <row r="827" ht="15.75" customHeight="1" s="22"/>
    <row r="828" ht="15.75" customHeight="1" s="22"/>
    <row r="829" ht="15.75" customHeight="1" s="22"/>
    <row r="830" ht="15.75" customHeight="1" s="22"/>
    <row r="831" ht="15.75" customHeight="1" s="22"/>
    <row r="832" ht="15.75" customHeight="1" s="22"/>
    <row r="833" ht="15.75" customHeight="1" s="22"/>
    <row r="834" ht="15.75" customHeight="1" s="22"/>
    <row r="835" ht="15.75" customHeight="1" s="22"/>
    <row r="836" ht="15.75" customHeight="1" s="22"/>
    <row r="837" ht="15.75" customHeight="1" s="22"/>
    <row r="838" ht="15.75" customHeight="1" s="22"/>
    <row r="839" ht="15.75" customHeight="1" s="22"/>
    <row r="840" ht="15.75" customHeight="1" s="22"/>
    <row r="841" ht="15.75" customHeight="1" s="22"/>
    <row r="842" ht="15.75" customHeight="1" s="22"/>
    <row r="843" ht="15.75" customHeight="1" s="22"/>
    <row r="844" ht="15.75" customHeight="1" s="22"/>
    <row r="845" ht="15.75" customHeight="1" s="22"/>
    <row r="846" ht="15.75" customHeight="1" s="22"/>
    <row r="847" ht="15.75" customHeight="1" s="22"/>
    <row r="848" ht="15.75" customHeight="1" s="22"/>
    <row r="849" ht="15.75" customHeight="1" s="22"/>
    <row r="850" ht="15.75" customHeight="1" s="22"/>
    <row r="851" ht="15.75" customHeight="1" s="22"/>
    <row r="852" ht="15.75" customHeight="1" s="22"/>
    <row r="853" ht="15.75" customHeight="1" s="22"/>
    <row r="854" ht="15.75" customHeight="1" s="22"/>
    <row r="855" ht="15.75" customHeight="1" s="22"/>
    <row r="856" ht="15.75" customHeight="1" s="22"/>
    <row r="857" ht="15.75" customHeight="1" s="22"/>
    <row r="858" ht="15.75" customHeight="1" s="22"/>
    <row r="859" ht="15.75" customHeight="1" s="22"/>
    <row r="860" ht="15.75" customHeight="1" s="22"/>
    <row r="861" ht="15.75" customHeight="1" s="22"/>
    <row r="862" ht="15.75" customHeight="1" s="22"/>
    <row r="863" ht="15.75" customHeight="1" s="22"/>
    <row r="864" ht="15.75" customHeight="1" s="22"/>
    <row r="865" ht="15.75" customHeight="1" s="22"/>
    <row r="866" ht="15.75" customHeight="1" s="22"/>
    <row r="867" ht="15.75" customHeight="1" s="22"/>
    <row r="868" ht="15.75" customHeight="1" s="22"/>
    <row r="869" ht="15.75" customHeight="1" s="22"/>
    <row r="870" ht="15.75" customHeight="1" s="22"/>
    <row r="871" ht="15.75" customHeight="1" s="22"/>
    <row r="872" ht="15.75" customHeight="1" s="22"/>
    <row r="873" ht="15.75" customHeight="1" s="22"/>
    <row r="874" ht="15.75" customHeight="1" s="22"/>
    <row r="875" ht="15.75" customHeight="1" s="22"/>
    <row r="876" ht="15.75" customHeight="1" s="22"/>
    <row r="877" ht="15.75" customHeight="1" s="22"/>
    <row r="878" ht="15.75" customHeight="1" s="22"/>
    <row r="879" ht="15.75" customHeight="1" s="22"/>
    <row r="880" ht="15.75" customHeight="1" s="22"/>
    <row r="881" ht="15.75" customHeight="1" s="22"/>
    <row r="882" ht="15.75" customHeight="1" s="22"/>
    <row r="883" ht="15.75" customHeight="1" s="22"/>
    <row r="884" ht="15.75" customHeight="1" s="22"/>
    <row r="885" ht="15.75" customHeight="1" s="22"/>
    <row r="886" ht="15.75" customHeight="1" s="22"/>
    <row r="887" ht="15.75" customHeight="1" s="22"/>
    <row r="888" ht="15.75" customHeight="1" s="22"/>
    <row r="889" ht="15.75" customHeight="1" s="22"/>
    <row r="890" ht="15.75" customHeight="1" s="22"/>
    <row r="891" ht="15.75" customHeight="1" s="22"/>
    <row r="892" ht="15.75" customHeight="1" s="22"/>
    <row r="893" ht="15.75" customHeight="1" s="22"/>
    <row r="894" ht="15.75" customHeight="1" s="22"/>
    <row r="895" ht="15.75" customHeight="1" s="22"/>
    <row r="896" ht="15.75" customHeight="1" s="22"/>
    <row r="897" ht="15.75" customHeight="1" s="22"/>
    <row r="898" ht="15.75" customHeight="1" s="22"/>
    <row r="899" ht="15.75" customHeight="1" s="22"/>
    <row r="900" ht="15.75" customHeight="1" s="22"/>
    <row r="901" ht="15.75" customHeight="1" s="22"/>
    <row r="902" ht="15.75" customHeight="1" s="22"/>
    <row r="903" ht="15.75" customHeight="1" s="22"/>
    <row r="904" ht="15.75" customHeight="1" s="22"/>
    <row r="905" ht="15.75" customHeight="1" s="22"/>
    <row r="906" ht="15.75" customHeight="1" s="22"/>
    <row r="907" ht="15.75" customHeight="1" s="22"/>
    <row r="908" ht="15.75" customHeight="1" s="22"/>
    <row r="909" ht="15.75" customHeight="1" s="22"/>
    <row r="910" ht="15.75" customHeight="1" s="22"/>
    <row r="911" ht="15.75" customHeight="1" s="22"/>
    <row r="912" ht="15.75" customHeight="1" s="22"/>
    <row r="913" ht="15.75" customHeight="1" s="22"/>
    <row r="914" ht="15.75" customHeight="1" s="22"/>
    <row r="915" ht="15.75" customHeight="1" s="22"/>
    <row r="916" ht="15.75" customHeight="1" s="22"/>
    <row r="917" ht="15.75" customHeight="1" s="22"/>
    <row r="918" ht="15.75" customHeight="1" s="22"/>
    <row r="919" ht="15.75" customHeight="1" s="22"/>
    <row r="920" ht="15.75" customHeight="1" s="22"/>
    <row r="921" ht="15.75" customHeight="1" s="22"/>
    <row r="922" ht="15.75" customHeight="1" s="22"/>
    <row r="923" ht="15.75" customHeight="1" s="22"/>
    <row r="924" ht="15.75" customHeight="1" s="22"/>
    <row r="925" ht="15.75" customHeight="1" s="22"/>
    <row r="926" ht="15.75" customHeight="1" s="22"/>
    <row r="927" ht="15.75" customHeight="1" s="22"/>
    <row r="928" ht="15.75" customHeight="1" s="22"/>
    <row r="929" ht="15.75" customHeight="1" s="22"/>
    <row r="930" ht="15.75" customHeight="1" s="22"/>
    <row r="931" ht="15.75" customHeight="1" s="22"/>
    <row r="932" ht="15.75" customHeight="1" s="22"/>
    <row r="933" ht="15.75" customHeight="1" s="22"/>
    <row r="934" ht="15.75" customHeight="1" s="22"/>
    <row r="935" ht="15.75" customHeight="1" s="22"/>
    <row r="936" ht="15.75" customHeight="1" s="22"/>
    <row r="937" ht="15.75" customHeight="1" s="22"/>
    <row r="938" ht="15.75" customHeight="1" s="22"/>
    <row r="939" ht="15.75" customHeight="1" s="22"/>
    <row r="940" ht="15.75" customHeight="1" s="22"/>
    <row r="941" ht="15.75" customHeight="1" s="22"/>
    <row r="942" ht="15.75" customHeight="1" s="22"/>
    <row r="943" ht="15.75" customHeight="1" s="22"/>
    <row r="944" ht="15.75" customHeight="1" s="22"/>
    <row r="945" ht="15.75" customHeight="1" s="22"/>
    <row r="946" ht="15.75" customHeight="1" s="22"/>
    <row r="947" ht="15.75" customHeight="1" s="22"/>
    <row r="948" ht="15.75" customHeight="1" s="22"/>
    <row r="949" ht="15.75" customHeight="1" s="22"/>
    <row r="950" ht="15.75" customHeight="1" s="22"/>
    <row r="951" ht="15.75" customHeight="1" s="22"/>
    <row r="952" ht="15.75" customHeight="1" s="22"/>
    <row r="953" ht="15.75" customHeight="1" s="22"/>
    <row r="954" ht="15.75" customHeight="1" s="22"/>
    <row r="955" ht="15.75" customHeight="1" s="22"/>
    <row r="956" ht="15.75" customHeight="1" s="22"/>
    <row r="957" ht="15.75" customHeight="1" s="22"/>
    <row r="958" ht="15.75" customHeight="1" s="22"/>
    <row r="959" ht="15.75" customHeight="1" s="22"/>
    <row r="960" ht="15.75" customHeight="1" s="22"/>
    <row r="961" ht="15.75" customHeight="1" s="22"/>
    <row r="962" ht="15.75" customHeight="1" s="22"/>
    <row r="963" ht="15.75" customHeight="1" s="22"/>
    <row r="964" ht="15.75" customHeight="1" s="22"/>
    <row r="965" ht="15.75" customHeight="1" s="22"/>
    <row r="966" ht="15.75" customHeight="1" s="22"/>
    <row r="967" ht="15.75" customHeight="1" s="22"/>
    <row r="968" ht="15.75" customHeight="1" s="22"/>
    <row r="969" ht="15.75" customHeight="1" s="22"/>
    <row r="970" ht="15.75" customHeight="1" s="22"/>
    <row r="971" ht="15.75" customHeight="1" s="22"/>
    <row r="972" ht="15.75" customHeight="1" s="22"/>
    <row r="973" ht="15.75" customHeight="1" s="22"/>
    <row r="974" ht="15.75" customHeight="1" s="22"/>
    <row r="975" ht="15.75" customHeight="1" s="22"/>
    <row r="976" ht="15.75" customHeight="1" s="22"/>
    <row r="977" ht="15.75" customHeight="1" s="22"/>
    <row r="978" ht="15.75" customHeight="1" s="22"/>
    <row r="979" ht="15.75" customHeight="1" s="22"/>
    <row r="980" ht="15.75" customHeight="1" s="22"/>
    <row r="981" ht="15.75" customHeight="1" s="22"/>
    <row r="982" ht="15.75" customHeight="1" s="22"/>
    <row r="983" ht="15.75" customHeight="1" s="22"/>
    <row r="984" ht="15.75" customHeight="1" s="22"/>
    <row r="985" ht="15.75" customHeight="1" s="22"/>
    <row r="986" ht="15.75" customHeight="1" s="22"/>
    <row r="987" ht="15.75" customHeight="1" s="22"/>
    <row r="988" ht="15.75" customHeight="1" s="22"/>
    <row r="989" ht="15.75" customHeight="1" s="22"/>
    <row r="990" ht="15.75" customHeight="1" s="22"/>
    <row r="991" ht="15.75" customHeight="1" s="22"/>
    <row r="992" ht="15.75" customHeight="1" s="22"/>
    <row r="993" ht="15.75" customHeight="1" s="22"/>
    <row r="994" ht="15.75" customHeight="1" s="22"/>
    <row r="995" ht="15.75" customHeight="1" s="22"/>
    <row r="996" ht="15.75" customHeight="1" s="22"/>
    <row r="997" ht="15.75" customHeight="1" s="22"/>
    <row r="998" ht="15.75" customHeight="1" s="22"/>
    <row r="999" ht="15.75" customHeight="1" s="22"/>
    <row r="1000" ht="15.75" customHeight="1" s="22"/>
  </sheetData>
  <autoFilter ref="$A$2:$H$7"/>
  <mergeCells count="1">
    <mergeCell ref="A1:H1"/>
  </mergeCells>
  <dataValidations count="1">
    <dataValidation sqref="F3:F7" showDropDown="0" showInputMessage="0" showErrorMessage="0" allowBlank="1" type="list">
      <formula1>"S,M,L"</formula1>
    </dataValidation>
  </dataValidation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2026-08-19T11:01:19Z</dcterms:created>
  <dcterms:modified xmlns:dcterms="http://purl.org/dc/terms/" xmlns:xsi="http://www.w3.org/2001/XMLSchema-instance" xsi:type="dcterms:W3CDTF">2026-08-19T11:54:44Z</dcterms:modified>
</cp:coreProperties>
</file>