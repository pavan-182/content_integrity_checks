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High Risk Queue" sheetId="2" r:id="rId5"/>
    <sheet state="visible" name="Moderate Risk Queue" sheetId="3" r:id="rId6"/>
    <sheet state="visible" name="Low Risk Queue" sheetId="4" r:id="rId7"/>
    <sheet state="visible" name="All Abstracts" sheetId="5" r:id="rId8"/>
    <sheet state="visible" name="Check Detail" sheetId="6" r:id="rId9"/>
    <sheet state="visible" name="How This Works" sheetId="7" r:id="rId10"/>
  </sheets>
  <definedNames>
    <definedName hidden="1" localSheetId="1" name="_xlnm._FilterDatabase">'High Risk Queue'!$A$1:$G$13</definedName>
    <definedName hidden="1" localSheetId="2" name="_xlnm._FilterDatabase">'Moderate Risk Queue'!$A$1:$G$13</definedName>
    <definedName hidden="1" localSheetId="3" name="_xlnm._FilterDatabase">'Low Risk Queue'!$A$1:$G$13</definedName>
    <definedName hidden="1" localSheetId="4" name="_xlnm._FilterDatabase">'All Abstracts'!$A$1:$S$13</definedName>
    <definedName hidden="1" localSheetId="5" name="_xlnm._FilterDatabase">'Check Detail'!$A$1:$U$13</definedName>
  </definedNames>
  <calcPr/>
  <extLst>
    <ext uri="GoogleSheetsCustomDataVersion2">
      <go:sheetsCustomData xmlns:go="http://customooxmlschemas.google.com/" r:id="rId11" roundtripDataChecksum="GPnZIru8wVRQfPeGvLuVoqPTtquJ6iaKcNv9IbWEN4c="/>
    </ext>
  </extLst>
</workbook>
</file>

<file path=xl/sharedStrings.xml><?xml version="1.0" encoding="utf-8"?>
<sst xmlns="http://schemas.openxmlformats.org/spreadsheetml/2006/main" count="311" uniqueCount="134">
  <si>
    <t>Rank</t>
  </si>
  <si>
    <t>Abstract ID</t>
  </si>
  <si>
    <t>Title (short)</t>
  </si>
  <si>
    <t>Corresponding Author</t>
  </si>
  <si>
    <t>Why Flagged (plain English)</t>
  </si>
  <si>
    <t>High-Confidence Flags</t>
  </si>
  <si>
    <t>Corroborating Flags</t>
  </si>
  <si>
    <t xml:space="preserve"> </t>
  </si>
  <si>
    <t>Editor Triage — Submission Overview</t>
  </si>
  <si>
    <t>Total Submissions</t>
  </si>
  <si>
    <t>Low Risk (No Action Needed)</t>
  </si>
  <si>
    <t>Moderate Risk (Judgement Needed)</t>
  </si>
  <si>
    <t>High Risk (Judgement Needed)</t>
  </si>
  <si>
    <t>Requires Editor Judgement (Moderate + High)</t>
  </si>
  <si>
    <t>Share of Submissions Cleared Without Manual Review (Low ÷ Total)</t>
  </si>
  <si>
    <t>Share Requiring Editor Judgement (Moderate + High ÷ Total)</t>
  </si>
  <si>
    <t>Risk Tier</t>
  </si>
  <si>
    <t>Count</t>
  </si>
  <si>
    <t>Low</t>
  </si>
  <si>
    <t>Moderate</t>
  </si>
  <si>
    <t>High</t>
  </si>
  <si>
    <t>The name of the check failed</t>
  </si>
  <si>
    <t>Overall Risk</t>
  </si>
  <si>
    <t>Prior Retractions</t>
  </si>
  <si>
    <t>Tortured Phrases</t>
  </si>
  <si>
    <t>LLM Response Trace</t>
  </si>
  <si>
    <t>Templating (Cross-Author)</t>
  </si>
  <si>
    <t>Submission Volume</t>
  </si>
  <si>
    <t>Affiliation Relevance</t>
  </si>
  <si>
    <t>Email Validity</t>
  </si>
  <si>
    <t>Author Count Deviation</t>
  </si>
  <si>
    <t>Author Network</t>
  </si>
  <si>
    <t>High Risk Rank</t>
  </si>
  <si>
    <t>Moderate Risk Rank</t>
  </si>
  <si>
    <t>Low Risk Rank</t>
  </si>
  <si>
    <t>ASCO-10231</t>
  </si>
  <si>
    <t>Neoadjuvant Chemo in Stage III NSCLC</t>
  </si>
  <si>
    <t>R. Patel</t>
  </si>
  <si>
    <t>ASCO-10244</t>
  </si>
  <si>
    <t>Biomarkers for Immunotherapy Response</t>
  </si>
  <si>
    <t>L. Nguyen</t>
  </si>
  <si>
    <t>ASCO-10267</t>
  </si>
  <si>
    <t>CAR-T Outcomes in Relapsed Myeloma</t>
  </si>
  <si>
    <t>S. Okafor</t>
  </si>
  <si>
    <t>ASCO-10289</t>
  </si>
  <si>
    <t>Survival Analysis in Pancreatic Cancer</t>
  </si>
  <si>
    <t>M. Reyes</t>
  </si>
  <si>
    <t>ASCO-10301</t>
  </si>
  <si>
    <t>Novel PARP Inhibitor Combination Trial</t>
  </si>
  <si>
    <t>A. Kim</t>
  </si>
  <si>
    <t>ASCO-10318</t>
  </si>
  <si>
    <t>Real-World Data on Breast Cancer Screening</t>
  </si>
  <si>
    <t>J. Novak</t>
  </si>
  <si>
    <t>ASCO-10327</t>
  </si>
  <si>
    <t>Genomic Profiling of Colorectal Tumors</t>
  </si>
  <si>
    <t>T. Adeyemi</t>
  </si>
  <si>
    <t>ASCO-10340</t>
  </si>
  <si>
    <t>Quality of Life Post-Radiotherapy</t>
  </si>
  <si>
    <t>P. Sharma</t>
  </si>
  <si>
    <t>ASCO-10355</t>
  </si>
  <si>
    <t>Machine Learning for Tumor Segmentation</t>
  </si>
  <si>
    <t>D. Costa</t>
  </si>
  <si>
    <t>ASCO-10362</t>
  </si>
  <si>
    <t>Meta-analysis of Adjuvant Therapies</t>
  </si>
  <si>
    <t>H. Zhou</t>
  </si>
  <si>
    <t>ASCO-10371</t>
  </si>
  <si>
    <t>Rare Sarcoma Case Series</t>
  </si>
  <si>
    <t>V. Petrov</t>
  </si>
  <si>
    <t>ASCO-10389</t>
  </si>
  <si>
    <t>Cost-Effectiveness of Early Screening</t>
  </si>
  <si>
    <t>F. Idris</t>
  </si>
  <si>
    <t>Prior Retractions - Flag</t>
  </si>
  <si>
    <t>Prior Retractions - Evidence</t>
  </si>
  <si>
    <t>Tortured Phrases - Flag</t>
  </si>
  <si>
    <t>Tortured Phrases - Evidence</t>
  </si>
  <si>
    <t>LLM Response Trace - Flag</t>
  </si>
  <si>
    <t>LLM Response Trace - Evidence</t>
  </si>
  <si>
    <t>Templating (Cross-Author) - Flag</t>
  </si>
  <si>
    <t>Templating (Cross-Author) - Evidence</t>
  </si>
  <si>
    <t>Submission Volume - Flag</t>
  </si>
  <si>
    <t>Submission Volume - Evidence</t>
  </si>
  <si>
    <t>Affiliation Relevance - Flag</t>
  </si>
  <si>
    <t>Affiliation Relevance - Evidence</t>
  </si>
  <si>
    <t>Email Validity - Flag</t>
  </si>
  <si>
    <t>Email Validity - Evidence</t>
  </si>
  <si>
    <t>Author Count Deviation - Flag</t>
  </si>
  <si>
    <t>Author Count Deviation - Evidence</t>
  </si>
  <si>
    <t>Author Network - Flag</t>
  </si>
  <si>
    <t>Author Network - Evidence</t>
  </si>
  <si>
    <t>N</t>
  </si>
  <si>
    <t>Y</t>
  </si>
  <si>
    <t>1 co-author affiliation unrelated to oncology</t>
  </si>
  <si>
    <t>7 authors vs. field median of 4</t>
  </si>
  <si>
    <t>"malignant neoplasm" rendered as "cancerous new growth" 4x</t>
  </si>
  <si>
    <t>Abstract contains residual phrase 'As an AI language model'</t>
  </si>
  <si>
    <t>Corresponding author submitted 9 abstracts this cycle (avg: 2)</t>
  </si>
  <si>
    <t>Domain registered 11 days before submission</t>
  </si>
  <si>
    <t>3 co-authors share network with a retracted 2024 paper</t>
  </si>
  <si>
    <t>Corresponding author has 1 retraction (2023, Journal of Onc. Reports)</t>
  </si>
  <si>
    <t>83% sentence-structure overlap with ASCO-10371, different author group</t>
  </si>
  <si>
    <t>83% sentence-structure overlap with ASCO-10362, different author group</t>
  </si>
  <si>
    <t>Corresponding author submitted 6 abstracts this cycle (avg: 2)</t>
  </si>
  <si>
    <t>Affiliation listed does not appear in institutional directory</t>
  </si>
  <si>
    <t>Editor Triage Workbook — How This Works</t>
  </si>
  <si>
    <t>Open Dashboard for the overview, then High Risk Queue and Moderate Risk Queue for your worklists. All Abstracts is the full master list (source of truth for decisions).</t>
  </si>
  <si>
    <t>1. Start here every time: the Triage View tab</t>
  </si>
  <si>
    <t>•  Every submitted abstract gets exactly one row and one Overall Risk tier: Low, Moderate, or High.</t>
  </si>
  <si>
    <t>•  You do not need to open the Check Detail tab unless an abstract is Moderate or High risk.</t>
  </si>
  <si>
    <t>•  The 'Why Flagged' column tells you which specific checks fired, in plain language — no need to re-derive it.</t>
  </si>
  <si>
    <t>2. Why risk tiers are NOT a simple flag count</t>
  </si>
  <si>
    <t>•  The 9 checks are not equally reliable on their own, so they are not just summed together.</t>
  </si>
  <si>
    <t>•  Some checks are near-deterministic red flags by themselves (e.g. a tortured-phrase match is rarely a coincidence).</t>
  </si>
  <si>
    <t>•  Other checks are only meaningful as corroborating context — one alone is common and often innocent</t>
  </si>
  <si>
    <t>•  (e.g. a slightly high author count, or a borderline affiliation match).</t>
  </si>
  <si>
    <t>3. The four High-Confidence checks (any ONE fired = High risk)</t>
  </si>
  <si>
    <t>Corresponding or co-author has a prior retraction on record.</t>
  </si>
  <si>
    <t>Known paraphrase-evasion patterns detected (e.g. 'cancerous new growth' for 'malignant neoplasm').</t>
  </si>
  <si>
    <t>Leftover AI-assistant artifacts in the text (e.g. 'As an AI language model...').</t>
  </si>
  <si>
    <t>High structural overlap with another submission from an unrelated author group.</t>
  </si>
  <si>
    <t>4. The five Corroborating checks (need TWO OR MORE together = Moderate risk)</t>
  </si>
  <si>
    <t>Author submitting far more abstracts this cycle than the typical author.</t>
  </si>
  <si>
    <t>Listed affiliation doesn't clearly connect to the research area or institution directory.</t>
  </si>
  <si>
    <t>Corresponding author's email domain is newly registered or otherwise suspicious.</t>
  </si>
  <si>
    <t>Author list is unusually long or short relative to the field norm.</t>
  </si>
  <si>
    <t>A single corroborating flag alone stays Low risk — visible in Check Detail, but not something you need to act on.</t>
  </si>
  <si>
    <t>5. Risk tier color key</t>
  </si>
  <si>
    <t>No action needed. Proceeds through normal review.</t>
  </si>
  <si>
    <t>2+ corroborating signals together. Worth a quick look before proceeding.</t>
  </si>
  <si>
    <t>At least one high-confidence signal fired. Requires editor review before proceeding.</t>
  </si>
  <si>
    <t>6. What's NOT in this workbook</t>
  </si>
  <si>
    <t>•  AI-generated content detection is handled separately (third-party tool) and is not one of these 9 checks.</t>
  </si>
  <si>
    <t>•  This workbook does not auto-reject anything — 'High risk' means 'needs your judgment,' not 'guilty.'</t>
  </si>
  <si>
    <t>•  Severity assignments (which checks are 'high-confidence' vs 'corroborating') are a working default and</t>
  </si>
  <si>
    <t>•  should be validated against labeled retraction data before this logic is treated as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</si>
</sst>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4.0"/>
      <color rgb="FF1F4E78"/>
      <name val="Arial"/>
    </font>
    <font>
      <sz val="11.0"/>
      <color theme="1"/>
      <name val="Calibri"/>
    </font>
    <font>
      <sz val="10.0"/>
      <color rgb="FF595959"/>
      <name val="Arial"/>
    </font>
    <font/>
    <font>
      <b/>
      <sz val="22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i/>
      <sz val="9.0"/>
      <color rgb="FF595959"/>
      <name val="Arial"/>
    </font>
    <font>
      <i/>
      <sz val="10.0"/>
      <color rgb="FF1F4E78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808080"/>
        <bgColor rgb="FF808080"/>
      </patternFill>
    </fill>
    <fill>
      <patternFill patternType="solid">
        <fgColor rgb="FF8EA9DB"/>
        <bgColor rgb="FF8EA9DB"/>
      </patternFill>
    </fill>
    <fill>
      <patternFill patternType="solid">
        <fgColor rgb="FFC0504D"/>
        <bgColor rgb="FFC0504D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0" fontId="6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4" fillId="3" fontId="8" numFmtId="0" xfId="0" applyAlignment="1" applyBorder="1" applyFill="1" applyFont="1">
      <alignment horizontal="center" shrinkToFit="0" vertical="center" wrapText="0"/>
    </xf>
    <xf borderId="5" fillId="0" fontId="7" numFmtId="0" xfId="0" applyBorder="1" applyFont="1"/>
    <xf borderId="4" fillId="4" fontId="8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ill="1" applyFont="1">
      <alignment horizontal="center" shrinkToFit="0" vertical="center" wrapText="0"/>
    </xf>
    <xf borderId="4" fillId="6" fontId="8" numFmtId="0" xfId="0" applyAlignment="1" applyBorder="1" applyFill="1" applyFont="1">
      <alignment horizontal="center" shrinkToFit="0" vertical="center" wrapText="0"/>
    </xf>
    <xf borderId="6" fillId="0" fontId="7" numFmtId="0" xfId="0" applyBorder="1" applyFont="1"/>
    <xf borderId="7" fillId="0" fontId="7" numFmtId="0" xfId="0" applyBorder="1" applyFont="1"/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164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8" fillId="4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8" fillId="5" fontId="3" numFmtId="0" xfId="0" applyAlignment="1" applyBorder="1" applyFont="1">
      <alignment shrinkToFit="0" vertical="bottom" wrapText="0"/>
    </xf>
    <xf borderId="8" fillId="6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shrinkToFit="0" vertical="center" wrapText="0"/>
    </xf>
    <xf borderId="1" fillId="10" fontId="9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8" fillId="2" fontId="13" numFmtId="0" xfId="0" applyAlignment="1" applyBorder="1" applyFont="1">
      <alignment shrinkToFit="0" vertical="bottom" wrapText="0"/>
    </xf>
    <xf borderId="8" fillId="4" fontId="9" numFmtId="0" xfId="0" applyAlignment="1" applyBorder="1" applyFont="1">
      <alignment shrinkToFit="0" vertical="bottom" wrapText="0"/>
    </xf>
    <xf borderId="8" fillId="5" fontId="9" numFmtId="0" xfId="0" applyAlignment="1" applyBorder="1" applyFont="1">
      <alignment shrinkToFit="0" vertical="bottom" wrapText="0"/>
    </xf>
    <xf borderId="8" fillId="6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7">
    <dxf>
      <font>
        <sz val="10.0"/>
        <color rgb="FFBFBFBF"/>
        <name val="Arial"/>
      </font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DEBE3"/>
          <bgColor rgb="FFFDEBE3"/>
        </patternFill>
      </fill>
      <border/>
    </dxf>
    <dxf>
      <font/>
      <fill>
        <patternFill patternType="solid">
          <fgColor rgb="FFFFF7DE"/>
          <bgColor rgb="FFFFF7DE"/>
        </patternFill>
      </fill>
      <border/>
    </dxf>
    <dxf>
      <font>
        <b/>
        <name val="Arial"/>
      </font>
      <fill>
        <patternFill patternType="solid">
          <fgColor rgb="FFF8CBAD"/>
          <bgColor rgb="FFF8CBAD"/>
        </patternFill>
      </fill>
      <border/>
    </dxf>
    <dxf>
      <font>
        <b/>
        <name val="Arial"/>
      </font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Submissions by Risk Tier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Dashboard!$A$14:$A$16</c:f>
            </c:strRef>
          </c:cat>
          <c:val>
            <c:numRef>
              <c:f>Dashboard!$B$14:$B$16</c:f>
              <c:numCache/>
            </c:numRef>
          </c:val>
        </c:ser>
        <c:axId val="1293697270"/>
        <c:axId val="114300332"/>
      </c:barChart>
      <c:catAx>
        <c:axId val="1293697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Risk Tier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4300332"/>
      </c:catAx>
      <c:valAx>
        <c:axId val="114300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Abstracts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3697270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47625</xdr:rowOff>
    </xdr:from>
    <xdr:ext cx="4105275" cy="2638425"/>
    <xdr:graphicFrame>
      <xdr:nvGraphicFramePr>
        <xdr:cNvPr id="7697042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8" width="14.0"/>
    <col customWidth="1" min="9" max="26" width="8.71"/>
  </cols>
  <sheetData>
    <row r="1" ht="17.25" customHeight="1">
      <c r="A1" s="5" t="s">
        <v>8</v>
      </c>
      <c r="G1" s="6"/>
      <c r="H1" s="6"/>
    </row>
    <row r="2">
      <c r="A2" s="6"/>
      <c r="B2" s="6"/>
      <c r="C2" s="6"/>
      <c r="D2" s="6"/>
      <c r="E2" s="6"/>
      <c r="F2" s="6"/>
      <c r="G2" s="6"/>
      <c r="H2" s="6"/>
    </row>
    <row r="3" ht="23.25" customHeight="1">
      <c r="A3" s="7" t="s">
        <v>9</v>
      </c>
      <c r="B3" s="8"/>
      <c r="C3" s="7" t="s">
        <v>10</v>
      </c>
      <c r="D3" s="8"/>
      <c r="E3" s="7" t="s">
        <v>11</v>
      </c>
      <c r="F3" s="8"/>
      <c r="G3" s="7" t="s">
        <v>12</v>
      </c>
      <c r="H3" s="8"/>
    </row>
    <row r="4" ht="15.0" customHeight="1">
      <c r="A4" s="9">
        <f>COUNTA('All Abstracts'!A2:A13)</f>
        <v>12</v>
      </c>
      <c r="B4" s="10"/>
      <c r="C4" s="11">
        <f>COUNTIF('All Abstracts'!D2:D13,"Low")</f>
        <v>5</v>
      </c>
      <c r="D4" s="10"/>
      <c r="E4" s="12">
        <f>COUNTIF('All Abstracts'!D2:D13,"Moderate")</f>
        <v>2</v>
      </c>
      <c r="F4" s="10"/>
      <c r="G4" s="13">
        <f>COUNTIF('All Abstracts'!D2:D13,"High")</f>
        <v>5</v>
      </c>
      <c r="H4" s="10"/>
    </row>
    <row r="5" ht="15.0" customHeight="1">
      <c r="A5" s="14"/>
      <c r="B5" s="15"/>
      <c r="C5" s="14"/>
      <c r="D5" s="15"/>
      <c r="E5" s="14"/>
      <c r="F5" s="15"/>
      <c r="G5" s="14"/>
      <c r="H5" s="15"/>
    </row>
    <row r="6">
      <c r="A6" s="6"/>
      <c r="B6" s="6"/>
      <c r="C6" s="6"/>
      <c r="D6" s="6"/>
      <c r="E6" s="6"/>
      <c r="F6" s="6"/>
      <c r="G6" s="6"/>
      <c r="H6" s="6"/>
    </row>
    <row r="7" ht="15.0" customHeight="1">
      <c r="A7" s="16" t="s">
        <v>13</v>
      </c>
      <c r="D7" s="17">
        <f>COUNTIF('All Abstracts'!D2:D13,"Moderate")+COUNTIF('All Abstracts'!D2:D13,"High")</f>
        <v>7</v>
      </c>
      <c r="E7" s="6"/>
      <c r="F7" s="6"/>
      <c r="G7" s="6"/>
      <c r="H7" s="6"/>
    </row>
    <row r="8" ht="15.0" customHeight="1">
      <c r="A8" s="16" t="s">
        <v>14</v>
      </c>
      <c r="D8" s="18">
        <f>IFERROR(COUNTIF('All Abstracts'!D2:D13,"Low")/COUNTA('All Abstracts'!A2:A13),0)</f>
        <v>0.4166666667</v>
      </c>
      <c r="E8" s="6"/>
      <c r="F8" s="6"/>
      <c r="G8" s="6"/>
      <c r="H8" s="6"/>
    </row>
    <row r="9" ht="15.0" customHeight="1">
      <c r="A9" s="16" t="s">
        <v>15</v>
      </c>
      <c r="D9" s="18">
        <f>IFERROR(1-COUNTIF('All Abstracts'!D2:D13,"Low")/COUNTA('All Abstracts'!A2:A13),0)</f>
        <v>0.5833333333</v>
      </c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 ht="15.0" customHeight="1">
      <c r="A11" s="19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 ht="15.0" customHeight="1">
      <c r="A13" s="16" t="s">
        <v>16</v>
      </c>
      <c r="B13" s="16" t="s">
        <v>17</v>
      </c>
      <c r="C13" s="6"/>
      <c r="D13" s="6"/>
      <c r="E13" s="6"/>
      <c r="F13" s="6"/>
      <c r="G13" s="6"/>
      <c r="H13" s="6"/>
    </row>
    <row r="14" ht="15.0" customHeight="1">
      <c r="A14" s="20" t="s">
        <v>18</v>
      </c>
      <c r="B14" s="21">
        <f>COUNTIF('All Abstracts'!D2:D13,"Low")</f>
        <v>5</v>
      </c>
      <c r="C14" s="6"/>
      <c r="D14" s="6"/>
      <c r="E14" s="6"/>
      <c r="F14" s="6"/>
      <c r="G14" s="6"/>
      <c r="H14" s="6"/>
    </row>
    <row r="15" ht="15.0" customHeight="1">
      <c r="A15" s="22" t="s">
        <v>19</v>
      </c>
      <c r="B15" s="21">
        <f>COUNTIF('All Abstracts'!D2:D13,"Moderate")</f>
        <v>2</v>
      </c>
      <c r="C15" s="6"/>
      <c r="D15" s="6"/>
      <c r="E15" s="6"/>
      <c r="F15" s="6"/>
      <c r="G15" s="6"/>
      <c r="H15" s="6"/>
    </row>
    <row r="16" ht="15.0" customHeight="1">
      <c r="A16" s="23" t="s">
        <v>20</v>
      </c>
      <c r="B16" s="21">
        <f>COUNTIF('All Abstracts'!D2:D13,"High")</f>
        <v>5</v>
      </c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13">
    <mergeCell ref="E4:F5"/>
    <mergeCell ref="G4:H5"/>
    <mergeCell ref="A7:C7"/>
    <mergeCell ref="A8:C8"/>
    <mergeCell ref="A9:C9"/>
    <mergeCell ref="A11:F11"/>
    <mergeCell ref="A1:F1"/>
    <mergeCell ref="A3:B3"/>
    <mergeCell ref="C3:D3"/>
    <mergeCell ref="E3:F3"/>
    <mergeCell ref="G3:H3"/>
    <mergeCell ref="A4:B5"/>
    <mergeCell ref="C4:D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30.0"/>
    <col customWidth="1" min="4" max="4" width="16.0"/>
    <col customWidth="1" min="5" max="5" width="40.0"/>
    <col customWidth="1" min="6" max="7" width="14.0"/>
    <col customWidth="1" min="8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0" customHeight="1">
      <c r="A2" s="3">
        <v>1.0</v>
      </c>
      <c r="B2" s="3" t="str">
        <f t="array" ref="B2">IFERROR(INDEX('All Abstracts'!$A:$A,MATCH(1,'All Abstracts'!$Q:$Q,0)),"")</f>
        <v>ASCO-10267</v>
      </c>
      <c r="C2" s="3" t="str">
        <f t="array" ref="C2">IFERROR(INDEX('All Abstracts'!$B:$B,MATCH(1,'All Abstracts'!$Q:$Q,0)),"")</f>
        <v>CAR-T Outcomes in Relapsed Myeloma</v>
      </c>
      <c r="D2" s="3" t="str">
        <f t="array" ref="D2">IFERROR(INDEX('All Abstracts'!$C:$C,MATCH(1,'All Abstracts'!$Q:$Q,0)),"")</f>
        <v>S. Okafor</v>
      </c>
      <c r="E2" s="4" t="str">
        <f t="array" ref="E2">IFERROR(INDEX('All Abstracts'!$E:$E,MATCH(1,'All Abstracts'!$Q:$Q,0)),"")</f>
        <v>Tortured Phrases</v>
      </c>
      <c r="F2" s="3">
        <f t="array" ref="F2">IFERROR(INDEX('All Abstracts'!$F:$F,MATCH(1,'All Abstracts'!$Q:$Q,0)),"")</f>
        <v>1</v>
      </c>
      <c r="G2" s="3">
        <f t="array" ref="G2">IFERROR(INDEX('All Abstracts'!$G:$G,MATCH(1,'All Abstracts'!$Q:$Q,0)),"")</f>
        <v>0</v>
      </c>
    </row>
    <row r="3" ht="15.0" customHeight="1">
      <c r="A3" s="3">
        <v>2.0</v>
      </c>
      <c r="B3" s="3" t="str">
        <f t="array" ref="B3">IFERROR(INDEX('All Abstracts'!$A:$A,MATCH(2,'All Abstracts'!$Q:$Q,0)),"")</f>
        <v>ASCO-10301</v>
      </c>
      <c r="C3" s="3" t="str">
        <f t="array" ref="C3">IFERROR(INDEX('All Abstracts'!$B:$B,MATCH(2,'All Abstracts'!$Q:$Q,0)),"")</f>
        <v>Novel PARP Inhibitor Combination Trial</v>
      </c>
      <c r="D3" s="3" t="str">
        <f t="array" ref="D3">IFERROR(INDEX('All Abstracts'!$C:$C,MATCH(2,'All Abstracts'!$Q:$Q,0)),"")</f>
        <v>A. Kim</v>
      </c>
      <c r="E3" s="4" t="str">
        <f t="array" ref="E3">IFERROR(INDEX('All Abstracts'!$E:$E,MATCH(2,'All Abstracts'!$Q:$Q,0)),"")</f>
        <v>LLM Response Trace</v>
      </c>
      <c r="F3" s="3">
        <f t="array" ref="F3">IFERROR(INDEX('All Abstracts'!$F:$F,MATCH(2,'All Abstracts'!$Q:$Q,0)),"")</f>
        <v>1</v>
      </c>
      <c r="G3" s="3">
        <f t="array" ref="G3">IFERROR(INDEX('All Abstracts'!$G:$G,MATCH(2,'All Abstracts'!$Q:$Q,0)),"")</f>
        <v>0</v>
      </c>
    </row>
    <row r="4" ht="15.0" customHeight="1">
      <c r="A4" s="3">
        <v>3.0</v>
      </c>
      <c r="B4" s="3" t="str">
        <f t="array" ref="B4">IFERROR(INDEX('All Abstracts'!$A:$A,MATCH(3,'All Abstracts'!$Q:$Q,0)),"")</f>
        <v>ASCO-10355</v>
      </c>
      <c r="C4" s="3" t="str">
        <f t="array" ref="C4">IFERROR(INDEX('All Abstracts'!$B:$B,MATCH(3,'All Abstracts'!$Q:$Q,0)),"")</f>
        <v>Machine Learning for Tumor Segmentation</v>
      </c>
      <c r="D4" s="3" t="str">
        <f t="array" ref="D4">IFERROR(INDEX('All Abstracts'!$C:$C,MATCH(3,'All Abstracts'!$Q:$Q,0)),"")</f>
        <v>D. Costa</v>
      </c>
      <c r="E4" s="4" t="str">
        <f t="array" ref="E4">IFERROR(INDEX('All Abstracts'!$E:$E,MATCH(3,'All Abstracts'!$Q:$Q,0)),"")</f>
        <v>Prior Retractions</v>
      </c>
      <c r="F4" s="3">
        <f t="array" ref="F4">IFERROR(INDEX('All Abstracts'!$F:$F,MATCH(3,'All Abstracts'!$Q:$Q,0)),"")</f>
        <v>1</v>
      </c>
      <c r="G4" s="3">
        <f t="array" ref="G4">IFERROR(INDEX('All Abstracts'!$G:$G,MATCH(3,'All Abstracts'!$Q:$Q,0)),"")</f>
        <v>0</v>
      </c>
    </row>
    <row r="5" ht="15.0" customHeight="1">
      <c r="A5" s="3">
        <v>4.0</v>
      </c>
      <c r="B5" s="3" t="str">
        <f t="array" ref="B5">IFERROR(INDEX('All Abstracts'!$A:$A,MATCH(4,'All Abstracts'!$Q:$Q,0)),"")</f>
        <v>ASCO-10362</v>
      </c>
      <c r="C5" s="3" t="str">
        <f t="array" ref="C5">IFERROR(INDEX('All Abstracts'!$B:$B,MATCH(4,'All Abstracts'!$Q:$Q,0)),"")</f>
        <v>Meta-analysis of Adjuvant Therapies</v>
      </c>
      <c r="D5" s="3" t="str">
        <f t="array" ref="D5">IFERROR(INDEX('All Abstracts'!$C:$C,MATCH(4,'All Abstracts'!$Q:$Q,0)),"")</f>
        <v>H. Zhou</v>
      </c>
      <c r="E5" s="4" t="str">
        <f t="array" ref="E5">IFERROR(INDEX('All Abstracts'!$E:$E,MATCH(4,'All Abstracts'!$Q:$Q,0)),"")</f>
        <v>Templating (Cross-Author)</v>
      </c>
      <c r="F5" s="3">
        <f t="array" ref="F5">IFERROR(INDEX('All Abstracts'!$F:$F,MATCH(4,'All Abstracts'!$Q:$Q,0)),"")</f>
        <v>1</v>
      </c>
      <c r="G5" s="3">
        <f t="array" ref="G5">IFERROR(INDEX('All Abstracts'!$G:$G,MATCH(4,'All Abstracts'!$Q:$Q,0)),"")</f>
        <v>0</v>
      </c>
    </row>
    <row r="6" ht="15.0" customHeight="1">
      <c r="A6" s="3">
        <v>5.0</v>
      </c>
      <c r="B6" s="3" t="str">
        <f t="array" ref="B6">IFERROR(INDEX('All Abstracts'!$A:$A,MATCH(5,'All Abstracts'!$Q:$Q,0)),"")</f>
        <v>ASCO-10371</v>
      </c>
      <c r="C6" s="3" t="str">
        <f t="array" ref="C6">IFERROR(INDEX('All Abstracts'!$B:$B,MATCH(5,'All Abstracts'!$Q:$Q,0)),"")</f>
        <v>Rare Sarcoma Case Series</v>
      </c>
      <c r="D6" s="3" t="str">
        <f t="array" ref="D6">IFERROR(INDEX('All Abstracts'!$C:$C,MATCH(5,'All Abstracts'!$Q:$Q,0)),"")</f>
        <v>V. Petrov</v>
      </c>
      <c r="E6" s="4" t="str">
        <f t="array" ref="E6">IFERROR(INDEX('All Abstracts'!$E:$E,MATCH(5,'All Abstracts'!$Q:$Q,0)),"")</f>
        <v>Templating (Cross-Author), Submission Volume</v>
      </c>
      <c r="F6" s="3">
        <f t="array" ref="F6">IFERROR(INDEX('All Abstracts'!$F:$F,MATCH(5,'All Abstracts'!$Q:$Q,0)),"")</f>
        <v>1</v>
      </c>
      <c r="G6" s="3">
        <f t="array" ref="G6">IFERROR(INDEX('All Abstracts'!$G:$G,MATCH(5,'All Abstracts'!$Q:$Q,0)),"")</f>
        <v>1</v>
      </c>
    </row>
    <row r="7" ht="15.0" customHeight="1">
      <c r="A7" s="3">
        <v>6.0</v>
      </c>
      <c r="B7" s="3" t="str">
        <f t="array" ref="B7">IFERROR(INDEX('All Abstracts'!$A:$A,MATCH(6,'All Abstracts'!$Q:$Q,0)),"")</f>
        <v/>
      </c>
      <c r="C7" s="3" t="str">
        <f t="array" ref="C7">IFERROR(INDEX('All Abstracts'!$B:$B,MATCH(6,'All Abstracts'!$Q:$Q,0)),"")</f>
        <v/>
      </c>
      <c r="D7" s="3" t="str">
        <f t="array" ref="D7">IFERROR(INDEX('All Abstracts'!$C:$C,MATCH(6,'All Abstracts'!$Q:$Q,0)),"")</f>
        <v/>
      </c>
      <c r="E7" s="4" t="str">
        <f t="array" ref="E7">IFERROR(INDEX('All Abstracts'!$E:$E,MATCH(6,'All Abstracts'!$Q:$Q,0)),"")</f>
        <v/>
      </c>
      <c r="F7" s="3" t="str">
        <f t="array" ref="F7">IFERROR(INDEX('All Abstracts'!$F:$F,MATCH(6,'All Abstracts'!$Q:$Q,0)),"")</f>
        <v/>
      </c>
      <c r="G7" s="3" t="str">
        <f t="array" ref="G7">IFERROR(INDEX('All Abstracts'!$G:$G,MATCH(6,'All Abstracts'!$Q:$Q,0)),"")</f>
        <v/>
      </c>
    </row>
    <row r="8" ht="15.0" customHeight="1">
      <c r="A8" s="3">
        <v>7.0</v>
      </c>
      <c r="B8" s="3" t="str">
        <f t="array" ref="B8">IFERROR(INDEX('All Abstracts'!$A:$A,MATCH(7,'All Abstracts'!$Q:$Q,0)),"")</f>
        <v/>
      </c>
      <c r="C8" s="3" t="str">
        <f t="array" ref="C8">IFERROR(INDEX('All Abstracts'!$B:$B,MATCH(7,'All Abstracts'!$Q:$Q,0)),"")</f>
        <v/>
      </c>
      <c r="D8" s="3" t="str">
        <f t="array" ref="D8">IFERROR(INDEX('All Abstracts'!$C:$C,MATCH(7,'All Abstracts'!$Q:$Q,0)),"")</f>
        <v/>
      </c>
      <c r="E8" s="4" t="str">
        <f t="array" ref="E8">IFERROR(INDEX('All Abstracts'!$E:$E,MATCH(7,'All Abstracts'!$Q:$Q,0)),"")</f>
        <v/>
      </c>
      <c r="F8" s="3" t="str">
        <f t="array" ref="F8">IFERROR(INDEX('All Abstracts'!$F:$F,MATCH(7,'All Abstracts'!$Q:$Q,0)),"")</f>
        <v/>
      </c>
      <c r="G8" s="3" t="str">
        <f t="array" ref="G8">IFERROR(INDEX('All Abstracts'!$G:$G,MATCH(7,'All Abstracts'!$Q:$Q,0)),"")</f>
        <v/>
      </c>
    </row>
    <row r="9" ht="15.0" customHeight="1">
      <c r="A9" s="3">
        <v>8.0</v>
      </c>
      <c r="B9" s="3" t="str">
        <f t="array" ref="B9">IFERROR(INDEX('All Abstracts'!$A:$A,MATCH(8,'All Abstracts'!$Q:$Q,0)),"")</f>
        <v/>
      </c>
      <c r="C9" s="3" t="str">
        <f t="array" ref="C9">IFERROR(INDEX('All Abstracts'!$B:$B,MATCH(8,'All Abstracts'!$Q:$Q,0)),"")</f>
        <v/>
      </c>
      <c r="D9" s="3" t="str">
        <f t="array" ref="D9">IFERROR(INDEX('All Abstracts'!$C:$C,MATCH(8,'All Abstracts'!$Q:$Q,0)),"")</f>
        <v/>
      </c>
      <c r="E9" s="4" t="str">
        <f t="array" ref="E9">IFERROR(INDEX('All Abstracts'!$E:$E,MATCH(8,'All Abstracts'!$Q:$Q,0)),"")</f>
        <v/>
      </c>
      <c r="F9" s="3" t="str">
        <f t="array" ref="F9">IFERROR(INDEX('All Abstracts'!$F:$F,MATCH(8,'All Abstracts'!$Q:$Q,0)),"")</f>
        <v/>
      </c>
      <c r="G9" s="3" t="str">
        <f t="array" ref="G9">IFERROR(INDEX('All Abstracts'!$G:$G,MATCH(8,'All Abstracts'!$Q:$Q,0)),"")</f>
        <v/>
      </c>
    </row>
    <row r="10" ht="15.0" customHeight="1">
      <c r="A10" s="3">
        <v>9.0</v>
      </c>
      <c r="B10" s="3" t="str">
        <f t="array" ref="B10">IFERROR(INDEX('All Abstracts'!$A:$A,MATCH(9,'All Abstracts'!$Q:$Q,0)),"")</f>
        <v/>
      </c>
      <c r="C10" s="3" t="str">
        <f t="array" ref="C10">IFERROR(INDEX('All Abstracts'!$B:$B,MATCH(9,'All Abstracts'!$Q:$Q,0)),"")</f>
        <v/>
      </c>
      <c r="D10" s="3" t="str">
        <f t="array" ref="D10">IFERROR(INDEX('All Abstracts'!$C:$C,MATCH(9,'All Abstracts'!$Q:$Q,0)),"")</f>
        <v/>
      </c>
      <c r="E10" s="4" t="str">
        <f t="array" ref="E10">IFERROR(INDEX('All Abstracts'!$E:$E,MATCH(9,'All Abstracts'!$Q:$Q,0)),"")</f>
        <v/>
      </c>
      <c r="F10" s="3" t="str">
        <f t="array" ref="F10">IFERROR(INDEX('All Abstracts'!$F:$F,MATCH(9,'All Abstracts'!$Q:$Q,0)),"")</f>
        <v/>
      </c>
      <c r="G10" s="3" t="str">
        <f t="array" ref="G10">IFERROR(INDEX('All Abstracts'!$G:$G,MATCH(9,'All Abstracts'!$Q:$Q,0)),"")</f>
        <v/>
      </c>
    </row>
    <row r="11" ht="15.0" customHeight="1">
      <c r="A11" s="3">
        <v>10.0</v>
      </c>
      <c r="B11" s="3" t="str">
        <f t="array" ref="B11">IFERROR(INDEX('All Abstracts'!$A:$A,MATCH(10,'All Abstracts'!$Q:$Q,0)),"")</f>
        <v/>
      </c>
      <c r="C11" s="3" t="str">
        <f t="array" ref="C11">IFERROR(INDEX('All Abstracts'!$B:$B,MATCH(10,'All Abstracts'!$Q:$Q,0)),"")</f>
        <v/>
      </c>
      <c r="D11" s="3" t="str">
        <f t="array" ref="D11">IFERROR(INDEX('All Abstracts'!$C:$C,MATCH(10,'All Abstracts'!$Q:$Q,0)),"")</f>
        <v/>
      </c>
      <c r="E11" s="4" t="str">
        <f t="array" ref="E11">IFERROR(INDEX('All Abstracts'!$E:$E,MATCH(10,'All Abstracts'!$Q:$Q,0)),"")</f>
        <v/>
      </c>
      <c r="F11" s="3" t="str">
        <f t="array" ref="F11">IFERROR(INDEX('All Abstracts'!$F:$F,MATCH(10,'All Abstracts'!$Q:$Q,0)),"")</f>
        <v/>
      </c>
      <c r="G11" s="3" t="str">
        <f t="array" ref="G11">IFERROR(INDEX('All Abstracts'!$G:$G,MATCH(10,'All Abstracts'!$Q:$Q,0)),"")</f>
        <v/>
      </c>
    </row>
    <row r="12" ht="15.0" customHeight="1">
      <c r="A12" s="3">
        <v>11.0</v>
      </c>
      <c r="B12" s="3" t="str">
        <f t="array" ref="B12">IFERROR(INDEX('All Abstracts'!$A:$A,MATCH(11,'All Abstracts'!$Q:$Q,0)),"")</f>
        <v/>
      </c>
      <c r="C12" s="3" t="str">
        <f t="array" ref="C12">IFERROR(INDEX('All Abstracts'!$B:$B,MATCH(11,'All Abstracts'!$Q:$Q,0)),"")</f>
        <v/>
      </c>
      <c r="D12" s="3" t="str">
        <f t="array" ref="D12">IFERROR(INDEX('All Abstracts'!$C:$C,MATCH(11,'All Abstracts'!$Q:$Q,0)),"")</f>
        <v/>
      </c>
      <c r="E12" s="4" t="str">
        <f t="array" ref="E12">IFERROR(INDEX('All Abstracts'!$E:$E,MATCH(11,'All Abstracts'!$Q:$Q,0)),"")</f>
        <v/>
      </c>
      <c r="F12" s="3" t="str">
        <f t="array" ref="F12">IFERROR(INDEX('All Abstracts'!$F:$F,MATCH(11,'All Abstracts'!$Q:$Q,0)),"")</f>
        <v/>
      </c>
      <c r="G12" s="3" t="str">
        <f t="array" ref="G12">IFERROR(INDEX('All Abstracts'!$G:$G,MATCH(11,'All Abstracts'!$Q:$Q,0)),"")</f>
        <v/>
      </c>
    </row>
    <row r="13" ht="15.0" customHeight="1">
      <c r="A13" s="3">
        <v>12.0</v>
      </c>
      <c r="B13" s="3" t="str">
        <f t="array" ref="B13">IFERROR(INDEX('All Abstracts'!$A:$A,MATCH(12,'All Abstracts'!$Q:$Q,0)),"")</f>
        <v/>
      </c>
      <c r="C13" s="3" t="str">
        <f t="array" ref="C13">IFERROR(INDEX('All Abstracts'!$B:$B,MATCH(12,'All Abstracts'!$Q:$Q,0)),"")</f>
        <v/>
      </c>
      <c r="D13" s="3" t="str">
        <f t="array" ref="D13">IFERROR(INDEX('All Abstracts'!$C:$C,MATCH(12,'All Abstracts'!$Q:$Q,0)),"")</f>
        <v/>
      </c>
      <c r="E13" s="4" t="str">
        <f t="array" ref="E13">IFERROR(INDEX('All Abstracts'!$E:$E,MATCH(12,'All Abstracts'!$Q:$Q,0)),"")</f>
        <v/>
      </c>
      <c r="F13" s="3" t="str">
        <f t="array" ref="F13">IFERROR(INDEX('All Abstracts'!$F:$F,MATCH(12,'All Abstracts'!$Q:$Q,0)),"")</f>
        <v/>
      </c>
      <c r="G13" s="3" t="str">
        <f t="array" ref="G13">IFERROR(INDEX('All Abstracts'!$G:$G,MATCH(12,'All Abstracts'!$Q:$Q,0)),"")</f>
        <v/>
      </c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24" t="s">
        <v>21</v>
      </c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autoFilter ref="$A$1:$G$13"/>
  <conditionalFormatting sqref="A2:G13">
    <cfRule type="expression" dxfId="0" priority="1">
      <formula>$B2=""</formula>
    </cfRule>
  </conditionalFormatting>
  <conditionalFormatting sqref="A2:G13">
    <cfRule type="expression" dxfId="2" priority="2">
      <formula>$B2&lt;&gt;""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30.0"/>
    <col customWidth="1" min="4" max="4" width="16.0"/>
    <col customWidth="1" min="5" max="5" width="40.0"/>
    <col customWidth="1" min="6" max="7" width="14.0"/>
    <col customWidth="1" min="8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3">
        <v>1.0</v>
      </c>
      <c r="B2" s="3" t="str">
        <f t="array" ref="B2">IFERROR(INDEX('All Abstracts'!$A:$A,MATCH(1,'All Abstracts'!$R:$R,0)),"")</f>
        <v>ASCO-10244</v>
      </c>
      <c r="C2" s="3" t="str">
        <f t="array" ref="C2">IFERROR(INDEX('All Abstracts'!$B:$B,MATCH(1,'All Abstracts'!$R:$R,0)),"")</f>
        <v>Biomarkers for Immunotherapy Response</v>
      </c>
      <c r="D2" s="3" t="str">
        <f t="array" ref="D2">IFERROR(INDEX('All Abstracts'!$C:$C,MATCH(1,'All Abstracts'!$R:$R,0)),"")</f>
        <v>L. Nguyen</v>
      </c>
      <c r="E2" s="4" t="str">
        <f t="array" ref="E2">IFERROR(INDEX('All Abstracts'!$E:$E,MATCH(1,'All Abstracts'!$R:$R,0)),"")</f>
        <v>Affiliation Relevance, Author Count Deviation</v>
      </c>
      <c r="F2" s="3">
        <f t="array" ref="F2">IFERROR(INDEX('All Abstracts'!$F:$F,MATCH(1,'All Abstracts'!$R:$R,0)),"")</f>
        <v>0</v>
      </c>
      <c r="G2" s="3">
        <f t="array" ref="G2">IFERROR(INDEX('All Abstracts'!$G:$G,MATCH(1,'All Abstracts'!$R:$R,0)),"")</f>
        <v>2</v>
      </c>
    </row>
    <row r="3" ht="15.0" customHeight="1">
      <c r="A3" s="3">
        <v>2.0</v>
      </c>
      <c r="B3" s="3" t="str">
        <f t="array" ref="B3">IFERROR(INDEX('All Abstracts'!$A:$A,MATCH(2,'All Abstracts'!$R:$R,0)),"")</f>
        <v>ASCO-10327</v>
      </c>
      <c r="C3" s="3" t="str">
        <f t="array" ref="C3">IFERROR(INDEX('All Abstracts'!$B:$B,MATCH(2,'All Abstracts'!$R:$R,0)),"")</f>
        <v>Genomic Profiling of Colorectal Tumors</v>
      </c>
      <c r="D3" s="3" t="str">
        <f t="array" ref="D3">IFERROR(INDEX('All Abstracts'!$C:$C,MATCH(2,'All Abstracts'!$R:$R,0)),"")</f>
        <v>T. Adeyemi</v>
      </c>
      <c r="E3" s="4" t="str">
        <f t="array" ref="E3">IFERROR(INDEX('All Abstracts'!$E:$E,MATCH(2,'All Abstracts'!$R:$R,0)),"")</f>
        <v>Email Validity, Author Network</v>
      </c>
      <c r="F3" s="3">
        <f t="array" ref="F3">IFERROR(INDEX('All Abstracts'!$F:$F,MATCH(2,'All Abstracts'!$R:$R,0)),"")</f>
        <v>0</v>
      </c>
      <c r="G3" s="3">
        <f t="array" ref="G3">IFERROR(INDEX('All Abstracts'!$G:$G,MATCH(2,'All Abstracts'!$R:$R,0)),"")</f>
        <v>2</v>
      </c>
    </row>
    <row r="4" ht="15.0" customHeight="1">
      <c r="A4" s="3">
        <v>3.0</v>
      </c>
      <c r="B4" s="3" t="str">
        <f t="array" ref="B4">IFERROR(INDEX('All Abstracts'!$A:$A,MATCH(3,'All Abstracts'!$R:$R,0)),"")</f>
        <v/>
      </c>
      <c r="C4" s="3" t="str">
        <f t="array" ref="C4">IFERROR(INDEX('All Abstracts'!$B:$B,MATCH(3,'All Abstracts'!$R:$R,0)),"")</f>
        <v/>
      </c>
      <c r="D4" s="3" t="str">
        <f t="array" ref="D4">IFERROR(INDEX('All Abstracts'!$C:$C,MATCH(3,'All Abstracts'!$R:$R,0)),"")</f>
        <v/>
      </c>
      <c r="E4" s="4" t="str">
        <f t="array" ref="E4">IFERROR(INDEX('All Abstracts'!$E:$E,MATCH(3,'All Abstracts'!$R:$R,0)),"")</f>
        <v/>
      </c>
      <c r="F4" s="3" t="str">
        <f t="array" ref="F4">IFERROR(INDEX('All Abstracts'!$F:$F,MATCH(3,'All Abstracts'!$R:$R,0)),"")</f>
        <v/>
      </c>
      <c r="G4" s="3" t="str">
        <f t="array" ref="G4">IFERROR(INDEX('All Abstracts'!$G:$G,MATCH(3,'All Abstracts'!$R:$R,0)),"")</f>
        <v/>
      </c>
    </row>
    <row r="5" ht="15.0" customHeight="1">
      <c r="A5" s="3">
        <v>4.0</v>
      </c>
      <c r="B5" s="3" t="str">
        <f t="array" ref="B5">IFERROR(INDEX('All Abstracts'!$A:$A,MATCH(4,'All Abstracts'!$R:$R,0)),"")</f>
        <v/>
      </c>
      <c r="C5" s="3" t="str">
        <f t="array" ref="C5">IFERROR(INDEX('All Abstracts'!$B:$B,MATCH(4,'All Abstracts'!$R:$R,0)),"")</f>
        <v/>
      </c>
      <c r="D5" s="3" t="str">
        <f t="array" ref="D5">IFERROR(INDEX('All Abstracts'!$C:$C,MATCH(4,'All Abstracts'!$R:$R,0)),"")</f>
        <v/>
      </c>
      <c r="E5" s="4" t="str">
        <f t="array" ref="E5">IFERROR(INDEX('All Abstracts'!$E:$E,MATCH(4,'All Abstracts'!$R:$R,0)),"")</f>
        <v/>
      </c>
      <c r="F5" s="3" t="str">
        <f t="array" ref="F5">IFERROR(INDEX('All Abstracts'!$F:$F,MATCH(4,'All Abstracts'!$R:$R,0)),"")</f>
        <v/>
      </c>
      <c r="G5" s="3" t="str">
        <f t="array" ref="G5">IFERROR(INDEX('All Abstracts'!$G:$G,MATCH(4,'All Abstracts'!$R:$R,0)),"")</f>
        <v/>
      </c>
    </row>
    <row r="6" ht="15.0" customHeight="1">
      <c r="A6" s="3">
        <v>5.0</v>
      </c>
      <c r="B6" s="3" t="str">
        <f t="array" ref="B6">IFERROR(INDEX('All Abstracts'!$A:$A,MATCH(5,'All Abstracts'!$R:$R,0)),"")</f>
        <v/>
      </c>
      <c r="C6" s="3" t="str">
        <f t="array" ref="C6">IFERROR(INDEX('All Abstracts'!$B:$B,MATCH(5,'All Abstracts'!$R:$R,0)),"")</f>
        <v/>
      </c>
      <c r="D6" s="3" t="str">
        <f t="array" ref="D6">IFERROR(INDEX('All Abstracts'!$C:$C,MATCH(5,'All Abstracts'!$R:$R,0)),"")</f>
        <v/>
      </c>
      <c r="E6" s="4" t="str">
        <f t="array" ref="E6">IFERROR(INDEX('All Abstracts'!$E:$E,MATCH(5,'All Abstracts'!$R:$R,0)),"")</f>
        <v/>
      </c>
      <c r="F6" s="3" t="str">
        <f t="array" ref="F6">IFERROR(INDEX('All Abstracts'!$F:$F,MATCH(5,'All Abstracts'!$R:$R,0)),"")</f>
        <v/>
      </c>
      <c r="G6" s="3" t="str">
        <f t="array" ref="G6">IFERROR(INDEX('All Abstracts'!$G:$G,MATCH(5,'All Abstracts'!$R:$R,0)),"")</f>
        <v/>
      </c>
    </row>
    <row r="7" ht="15.0" customHeight="1">
      <c r="A7" s="3">
        <v>6.0</v>
      </c>
      <c r="B7" s="3" t="str">
        <f t="array" ref="B7">IFERROR(INDEX('All Abstracts'!$A:$A,MATCH(6,'All Abstracts'!$R:$R,0)),"")</f>
        <v/>
      </c>
      <c r="C7" s="3" t="str">
        <f t="array" ref="C7">IFERROR(INDEX('All Abstracts'!$B:$B,MATCH(6,'All Abstracts'!$R:$R,0)),"")</f>
        <v/>
      </c>
      <c r="D7" s="3" t="str">
        <f t="array" ref="D7">IFERROR(INDEX('All Abstracts'!$C:$C,MATCH(6,'All Abstracts'!$R:$R,0)),"")</f>
        <v/>
      </c>
      <c r="E7" s="4" t="str">
        <f t="array" ref="E7">IFERROR(INDEX('All Abstracts'!$E:$E,MATCH(6,'All Abstracts'!$R:$R,0)),"")</f>
        <v/>
      </c>
      <c r="F7" s="3" t="str">
        <f t="array" ref="F7">IFERROR(INDEX('All Abstracts'!$F:$F,MATCH(6,'All Abstracts'!$R:$R,0)),"")</f>
        <v/>
      </c>
      <c r="G7" s="3" t="str">
        <f t="array" ref="G7">IFERROR(INDEX('All Abstracts'!$G:$G,MATCH(6,'All Abstracts'!$R:$R,0)),"")</f>
        <v/>
      </c>
    </row>
    <row r="8" ht="15.0" customHeight="1">
      <c r="A8" s="3">
        <v>7.0</v>
      </c>
      <c r="B8" s="3" t="str">
        <f t="array" ref="B8">IFERROR(INDEX('All Abstracts'!$A:$A,MATCH(7,'All Abstracts'!$R:$R,0)),"")</f>
        <v/>
      </c>
      <c r="C8" s="3" t="str">
        <f t="array" ref="C8">IFERROR(INDEX('All Abstracts'!$B:$B,MATCH(7,'All Abstracts'!$R:$R,0)),"")</f>
        <v/>
      </c>
      <c r="D8" s="3" t="str">
        <f t="array" ref="D8">IFERROR(INDEX('All Abstracts'!$C:$C,MATCH(7,'All Abstracts'!$R:$R,0)),"")</f>
        <v/>
      </c>
      <c r="E8" s="4" t="str">
        <f t="array" ref="E8">IFERROR(INDEX('All Abstracts'!$E:$E,MATCH(7,'All Abstracts'!$R:$R,0)),"")</f>
        <v/>
      </c>
      <c r="F8" s="3" t="str">
        <f t="array" ref="F8">IFERROR(INDEX('All Abstracts'!$F:$F,MATCH(7,'All Abstracts'!$R:$R,0)),"")</f>
        <v/>
      </c>
      <c r="G8" s="3" t="str">
        <f t="array" ref="G8">IFERROR(INDEX('All Abstracts'!$G:$G,MATCH(7,'All Abstracts'!$R:$R,0)),"")</f>
        <v/>
      </c>
    </row>
    <row r="9" ht="15.0" customHeight="1">
      <c r="A9" s="3">
        <v>8.0</v>
      </c>
      <c r="B9" s="3" t="str">
        <f t="array" ref="B9">IFERROR(INDEX('All Abstracts'!$A:$A,MATCH(8,'All Abstracts'!$R:$R,0)),"")</f>
        <v/>
      </c>
      <c r="C9" s="3" t="str">
        <f t="array" ref="C9">IFERROR(INDEX('All Abstracts'!$B:$B,MATCH(8,'All Abstracts'!$R:$R,0)),"")</f>
        <v/>
      </c>
      <c r="D9" s="3" t="str">
        <f t="array" ref="D9">IFERROR(INDEX('All Abstracts'!$C:$C,MATCH(8,'All Abstracts'!$R:$R,0)),"")</f>
        <v/>
      </c>
      <c r="E9" s="4" t="str">
        <f t="array" ref="E9">IFERROR(INDEX('All Abstracts'!$E:$E,MATCH(8,'All Abstracts'!$R:$R,0)),"")</f>
        <v/>
      </c>
      <c r="F9" s="3" t="str">
        <f t="array" ref="F9">IFERROR(INDEX('All Abstracts'!$F:$F,MATCH(8,'All Abstracts'!$R:$R,0)),"")</f>
        <v/>
      </c>
      <c r="G9" s="3" t="str">
        <f t="array" ref="G9">IFERROR(INDEX('All Abstracts'!$G:$G,MATCH(8,'All Abstracts'!$R:$R,0)),"")</f>
        <v/>
      </c>
    </row>
    <row r="10" ht="15.0" customHeight="1">
      <c r="A10" s="3">
        <v>9.0</v>
      </c>
      <c r="B10" s="3" t="str">
        <f t="array" ref="B10">IFERROR(INDEX('All Abstracts'!$A:$A,MATCH(9,'All Abstracts'!$R:$R,0)),"")</f>
        <v/>
      </c>
      <c r="C10" s="3" t="str">
        <f t="array" ref="C10">IFERROR(INDEX('All Abstracts'!$B:$B,MATCH(9,'All Abstracts'!$R:$R,0)),"")</f>
        <v/>
      </c>
      <c r="D10" s="3" t="str">
        <f t="array" ref="D10">IFERROR(INDEX('All Abstracts'!$C:$C,MATCH(9,'All Abstracts'!$R:$R,0)),"")</f>
        <v/>
      </c>
      <c r="E10" s="4" t="str">
        <f t="array" ref="E10">IFERROR(INDEX('All Abstracts'!$E:$E,MATCH(9,'All Abstracts'!$R:$R,0)),"")</f>
        <v/>
      </c>
      <c r="F10" s="3" t="str">
        <f t="array" ref="F10">IFERROR(INDEX('All Abstracts'!$F:$F,MATCH(9,'All Abstracts'!$R:$R,0)),"")</f>
        <v/>
      </c>
      <c r="G10" s="3" t="str">
        <f t="array" ref="G10">IFERROR(INDEX('All Abstracts'!$G:$G,MATCH(9,'All Abstracts'!$R:$R,0)),"")</f>
        <v/>
      </c>
    </row>
    <row r="11" ht="15.0" customHeight="1">
      <c r="A11" s="3">
        <v>10.0</v>
      </c>
      <c r="B11" s="3" t="str">
        <f t="array" ref="B11">IFERROR(INDEX('All Abstracts'!$A:$A,MATCH(10,'All Abstracts'!$R:$R,0)),"")</f>
        <v/>
      </c>
      <c r="C11" s="3" t="str">
        <f t="array" ref="C11">IFERROR(INDEX('All Abstracts'!$B:$B,MATCH(10,'All Abstracts'!$R:$R,0)),"")</f>
        <v/>
      </c>
      <c r="D11" s="3" t="str">
        <f t="array" ref="D11">IFERROR(INDEX('All Abstracts'!$C:$C,MATCH(10,'All Abstracts'!$R:$R,0)),"")</f>
        <v/>
      </c>
      <c r="E11" s="4" t="str">
        <f t="array" ref="E11">IFERROR(INDEX('All Abstracts'!$E:$E,MATCH(10,'All Abstracts'!$R:$R,0)),"")</f>
        <v/>
      </c>
      <c r="F11" s="3" t="str">
        <f t="array" ref="F11">IFERROR(INDEX('All Abstracts'!$F:$F,MATCH(10,'All Abstracts'!$R:$R,0)),"")</f>
        <v/>
      </c>
      <c r="G11" s="3" t="str">
        <f t="array" ref="G11">IFERROR(INDEX('All Abstracts'!$G:$G,MATCH(10,'All Abstracts'!$R:$R,0)),"")</f>
        <v/>
      </c>
    </row>
    <row r="12" ht="15.0" customHeight="1">
      <c r="A12" s="3">
        <v>11.0</v>
      </c>
      <c r="B12" s="3" t="str">
        <f t="array" ref="B12">IFERROR(INDEX('All Abstracts'!$A:$A,MATCH(11,'All Abstracts'!$R:$R,0)),"")</f>
        <v/>
      </c>
      <c r="C12" s="3" t="str">
        <f t="array" ref="C12">IFERROR(INDEX('All Abstracts'!$B:$B,MATCH(11,'All Abstracts'!$R:$R,0)),"")</f>
        <v/>
      </c>
      <c r="D12" s="3" t="str">
        <f t="array" ref="D12">IFERROR(INDEX('All Abstracts'!$C:$C,MATCH(11,'All Abstracts'!$R:$R,0)),"")</f>
        <v/>
      </c>
      <c r="E12" s="4" t="str">
        <f t="array" ref="E12">IFERROR(INDEX('All Abstracts'!$E:$E,MATCH(11,'All Abstracts'!$R:$R,0)),"")</f>
        <v/>
      </c>
      <c r="F12" s="3" t="str">
        <f t="array" ref="F12">IFERROR(INDEX('All Abstracts'!$F:$F,MATCH(11,'All Abstracts'!$R:$R,0)),"")</f>
        <v/>
      </c>
      <c r="G12" s="3" t="str">
        <f t="array" ref="G12">IFERROR(INDEX('All Abstracts'!$G:$G,MATCH(11,'All Abstracts'!$R:$R,0)),"")</f>
        <v/>
      </c>
    </row>
    <row r="13" ht="15.0" customHeight="1">
      <c r="A13" s="3">
        <v>12.0</v>
      </c>
      <c r="B13" s="3" t="str">
        <f t="array" ref="B13">IFERROR(INDEX('All Abstracts'!$A:$A,MATCH(12,'All Abstracts'!$R:$R,0)),"")</f>
        <v/>
      </c>
      <c r="C13" s="3" t="str">
        <f t="array" ref="C13">IFERROR(INDEX('All Abstracts'!$B:$B,MATCH(12,'All Abstracts'!$R:$R,0)),"")</f>
        <v/>
      </c>
      <c r="D13" s="3" t="str">
        <f t="array" ref="D13">IFERROR(INDEX('All Abstracts'!$C:$C,MATCH(12,'All Abstracts'!$R:$R,0)),"")</f>
        <v/>
      </c>
      <c r="E13" s="4" t="str">
        <f t="array" ref="E13">IFERROR(INDEX('All Abstracts'!$E:$E,MATCH(12,'All Abstracts'!$R:$R,0)),"")</f>
        <v/>
      </c>
      <c r="F13" s="3" t="str">
        <f t="array" ref="F13">IFERROR(INDEX('All Abstracts'!$F:$F,MATCH(12,'All Abstracts'!$R:$R,0)),"")</f>
        <v/>
      </c>
      <c r="G13" s="3" t="str">
        <f t="array" ref="G13">IFERROR(INDEX('All Abstracts'!$G:$G,MATCH(12,'All Abstracts'!$R:$R,0)),"")</f>
        <v/>
      </c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autoFilter ref="$A$1:$G$13"/>
  <conditionalFormatting sqref="A2:G13">
    <cfRule type="expression" dxfId="0" priority="1">
      <formula>$B2=""</formula>
    </cfRule>
  </conditionalFormatting>
  <conditionalFormatting sqref="A2:G13">
    <cfRule type="expression" dxfId="3" priority="2">
      <formula>$B2&lt;&gt;""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30.0"/>
    <col customWidth="1" min="4" max="4" width="16.0"/>
    <col customWidth="1" min="5" max="5" width="40.0"/>
    <col customWidth="1" min="6" max="7" width="14.0"/>
    <col customWidth="1" min="8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3" t="str">
        <f t="array" ref="B2">IFERROR(INDEX('All Abstracts'!$A:$A,MATCH(1,'All Abstracts'!$S:$S,0)),"")</f>
        <v>ASCO-10231</v>
      </c>
      <c r="C2" s="3" t="str">
        <f t="array" ref="C2">IFERROR(INDEX('All Abstracts'!$B:$B,MATCH(1,'All Abstracts'!$S:$S,0)),"")</f>
        <v>Neoadjuvant Chemo in Stage III NSCLC</v>
      </c>
      <c r="D2" s="3" t="str">
        <f t="array" ref="D2">IFERROR(INDEX('All Abstracts'!$C:$C,MATCH(1,'All Abstracts'!$S:$S,0)),"")</f>
        <v>R. Patel</v>
      </c>
      <c r="E2" s="4" t="str">
        <f t="array" ref="E2">IFERROR(INDEX('All Abstracts'!$E:$E,MATCH(1,'All Abstracts'!$S:$S,0)),"")</f>
        <v>No significant flags</v>
      </c>
      <c r="F2" s="3">
        <f t="array" ref="F2">IFERROR(INDEX('All Abstracts'!$F:$F,MATCH(1,'All Abstracts'!$S:$S,0)),"")</f>
        <v>0</v>
      </c>
      <c r="G2" s="3">
        <f t="array" ref="G2">IFERROR(INDEX('All Abstracts'!$G:$G,MATCH(1,'All Abstracts'!$S:$S,0)),"")</f>
        <v>0</v>
      </c>
    </row>
    <row r="3">
      <c r="A3" s="3">
        <v>2.0</v>
      </c>
      <c r="B3" s="3" t="str">
        <f t="array" ref="B3">IFERROR(INDEX('All Abstracts'!$A:$A,MATCH(2,'All Abstracts'!$S:$S,0)),"")</f>
        <v>ASCO-10289</v>
      </c>
      <c r="C3" s="3" t="str">
        <f t="array" ref="C3">IFERROR(INDEX('All Abstracts'!$B:$B,MATCH(2,'All Abstracts'!$S:$S,0)),"")</f>
        <v>Survival Analysis in Pancreatic Cancer</v>
      </c>
      <c r="D3" s="3" t="str">
        <f t="array" ref="D3">IFERROR(INDEX('All Abstracts'!$C:$C,MATCH(2,'All Abstracts'!$S:$S,0)),"")</f>
        <v>M. Reyes</v>
      </c>
      <c r="E3" s="4" t="str">
        <f t="array" ref="E3">IFERROR(INDEX('All Abstracts'!$E:$E,MATCH(2,'All Abstracts'!$S:$S,0)),"")</f>
        <v>No significant flags</v>
      </c>
      <c r="F3" s="3">
        <f t="array" ref="F3">IFERROR(INDEX('All Abstracts'!$F:$F,MATCH(2,'All Abstracts'!$S:$S,0)),"")</f>
        <v>0</v>
      </c>
      <c r="G3" s="3">
        <f t="array" ref="G3">IFERROR(INDEX('All Abstracts'!$G:$G,MATCH(2,'All Abstracts'!$S:$S,0)),"")</f>
        <v>0</v>
      </c>
    </row>
    <row r="4">
      <c r="A4" s="3">
        <v>3.0</v>
      </c>
      <c r="B4" s="3" t="str">
        <f t="array" ref="B4">IFERROR(INDEX('All Abstracts'!$A:$A,MATCH(3,'All Abstracts'!$S:$S,0)),"")</f>
        <v>ASCO-10318</v>
      </c>
      <c r="C4" s="3" t="str">
        <f t="array" ref="C4">IFERROR(INDEX('All Abstracts'!$B:$B,MATCH(3,'All Abstracts'!$S:$S,0)),"")</f>
        <v>Real-World Data on Breast Cancer Screening</v>
      </c>
      <c r="D4" s="3" t="str">
        <f t="array" ref="D4">IFERROR(INDEX('All Abstracts'!$C:$C,MATCH(3,'All Abstracts'!$S:$S,0)),"")</f>
        <v>J. Novak</v>
      </c>
      <c r="E4" s="4" t="str">
        <f t="array" ref="E4">IFERROR(INDEX('All Abstracts'!$E:$E,MATCH(3,'All Abstracts'!$S:$S,0)),"")</f>
        <v>No significant flags</v>
      </c>
      <c r="F4" s="3">
        <f t="array" ref="F4">IFERROR(INDEX('All Abstracts'!$F:$F,MATCH(3,'All Abstracts'!$S:$S,0)),"")</f>
        <v>0</v>
      </c>
      <c r="G4" s="3">
        <f t="array" ref="G4">IFERROR(INDEX('All Abstracts'!$G:$G,MATCH(3,'All Abstracts'!$S:$S,0)),"")</f>
        <v>1</v>
      </c>
    </row>
    <row r="5">
      <c r="A5" s="3">
        <v>4.0</v>
      </c>
      <c r="B5" s="3" t="str">
        <f t="array" ref="B5">IFERROR(INDEX('All Abstracts'!$A:$A,MATCH(4,'All Abstracts'!$S:$S,0)),"")</f>
        <v>ASCO-10340</v>
      </c>
      <c r="C5" s="3" t="str">
        <f t="array" ref="C5">IFERROR(INDEX('All Abstracts'!$B:$B,MATCH(4,'All Abstracts'!$S:$S,0)),"")</f>
        <v>Quality of Life Post-Radiotherapy</v>
      </c>
      <c r="D5" s="3" t="str">
        <f t="array" ref="D5">IFERROR(INDEX('All Abstracts'!$C:$C,MATCH(4,'All Abstracts'!$S:$S,0)),"")</f>
        <v>P. Sharma</v>
      </c>
      <c r="E5" s="4" t="str">
        <f t="array" ref="E5">IFERROR(INDEX('All Abstracts'!$E:$E,MATCH(4,'All Abstracts'!$S:$S,0)),"")</f>
        <v>No significant flags</v>
      </c>
      <c r="F5" s="3">
        <f t="array" ref="F5">IFERROR(INDEX('All Abstracts'!$F:$F,MATCH(4,'All Abstracts'!$S:$S,0)),"")</f>
        <v>0</v>
      </c>
      <c r="G5" s="3">
        <f t="array" ref="G5">IFERROR(INDEX('All Abstracts'!$G:$G,MATCH(4,'All Abstracts'!$S:$S,0)),"")</f>
        <v>0</v>
      </c>
    </row>
    <row r="6">
      <c r="A6" s="3">
        <v>5.0</v>
      </c>
      <c r="B6" s="3" t="str">
        <f t="array" ref="B6">IFERROR(INDEX('All Abstracts'!$A:$A,MATCH(5,'All Abstracts'!$S:$S,0)),"")</f>
        <v>ASCO-10389</v>
      </c>
      <c r="C6" s="3" t="str">
        <f t="array" ref="C6">IFERROR(INDEX('All Abstracts'!$B:$B,MATCH(5,'All Abstracts'!$S:$S,0)),"")</f>
        <v>Cost-Effectiveness of Early Screening</v>
      </c>
      <c r="D6" s="3" t="str">
        <f t="array" ref="D6">IFERROR(INDEX('All Abstracts'!$C:$C,MATCH(5,'All Abstracts'!$S:$S,0)),"")</f>
        <v>F. Idris</v>
      </c>
      <c r="E6" s="4" t="str">
        <f t="array" ref="E6">IFERROR(INDEX('All Abstracts'!$E:$E,MATCH(5,'All Abstracts'!$S:$S,0)),"")</f>
        <v>No significant flags</v>
      </c>
      <c r="F6" s="3">
        <f t="array" ref="F6">IFERROR(INDEX('All Abstracts'!$F:$F,MATCH(5,'All Abstracts'!$S:$S,0)),"")</f>
        <v>0</v>
      </c>
      <c r="G6" s="3">
        <f t="array" ref="G6">IFERROR(INDEX('All Abstracts'!$G:$G,MATCH(5,'All Abstracts'!$S:$S,0)),"")</f>
        <v>1</v>
      </c>
    </row>
    <row r="7">
      <c r="A7" s="3">
        <v>6.0</v>
      </c>
      <c r="B7" s="3" t="str">
        <f t="array" ref="B7">IFERROR(INDEX('All Abstracts'!$A:$A,MATCH(6,'All Abstracts'!$S:$S,0)),"")</f>
        <v/>
      </c>
      <c r="C7" s="3" t="str">
        <f t="array" ref="C7">IFERROR(INDEX('All Abstracts'!$B:$B,MATCH(6,'All Abstracts'!$S:$S,0)),"")</f>
        <v/>
      </c>
      <c r="D7" s="3" t="str">
        <f t="array" ref="D7">IFERROR(INDEX('All Abstracts'!$C:$C,MATCH(6,'All Abstracts'!$S:$S,0)),"")</f>
        <v/>
      </c>
      <c r="E7" s="4" t="str">
        <f t="array" ref="E7">IFERROR(INDEX('All Abstracts'!$E:$E,MATCH(6,'All Abstracts'!$S:$S,0)),"")</f>
        <v/>
      </c>
      <c r="F7" s="3" t="str">
        <f t="array" ref="F7">IFERROR(INDEX('All Abstracts'!$F:$F,MATCH(6,'All Abstracts'!$S:$S,0)),"")</f>
        <v/>
      </c>
      <c r="G7" s="3" t="str">
        <f t="array" ref="G7">IFERROR(INDEX('All Abstracts'!$G:$G,MATCH(6,'All Abstracts'!$S:$S,0)),"")</f>
        <v/>
      </c>
    </row>
    <row r="8">
      <c r="A8" s="3">
        <v>7.0</v>
      </c>
      <c r="B8" s="3" t="str">
        <f t="array" ref="B8">IFERROR(INDEX('All Abstracts'!$A:$A,MATCH(7,'All Abstracts'!$S:$S,0)),"")</f>
        <v/>
      </c>
      <c r="C8" s="3" t="str">
        <f t="array" ref="C8">IFERROR(INDEX('All Abstracts'!$B:$B,MATCH(7,'All Abstracts'!$S:$S,0)),"")</f>
        <v/>
      </c>
      <c r="D8" s="3" t="str">
        <f t="array" ref="D8">IFERROR(INDEX('All Abstracts'!$C:$C,MATCH(7,'All Abstracts'!$S:$S,0)),"")</f>
        <v/>
      </c>
      <c r="E8" s="4" t="str">
        <f t="array" ref="E8">IFERROR(INDEX('All Abstracts'!$E:$E,MATCH(7,'All Abstracts'!$S:$S,0)),"")</f>
        <v/>
      </c>
      <c r="F8" s="3" t="str">
        <f t="array" ref="F8">IFERROR(INDEX('All Abstracts'!$F:$F,MATCH(7,'All Abstracts'!$S:$S,0)),"")</f>
        <v/>
      </c>
      <c r="G8" s="3" t="str">
        <f t="array" ref="G8">IFERROR(INDEX('All Abstracts'!$G:$G,MATCH(7,'All Abstracts'!$S:$S,0)),"")</f>
        <v/>
      </c>
    </row>
    <row r="9">
      <c r="A9" s="3">
        <v>8.0</v>
      </c>
      <c r="B9" s="3" t="str">
        <f t="array" ref="B9">IFERROR(INDEX('All Abstracts'!$A:$A,MATCH(8,'All Abstracts'!$S:$S,0)),"")</f>
        <v/>
      </c>
      <c r="C9" s="3" t="str">
        <f t="array" ref="C9">IFERROR(INDEX('All Abstracts'!$B:$B,MATCH(8,'All Abstracts'!$S:$S,0)),"")</f>
        <v/>
      </c>
      <c r="D9" s="3" t="str">
        <f t="array" ref="D9">IFERROR(INDEX('All Abstracts'!$C:$C,MATCH(8,'All Abstracts'!$S:$S,0)),"")</f>
        <v/>
      </c>
      <c r="E9" s="4" t="str">
        <f t="array" ref="E9">IFERROR(INDEX('All Abstracts'!$E:$E,MATCH(8,'All Abstracts'!$S:$S,0)),"")</f>
        <v/>
      </c>
      <c r="F9" s="3" t="str">
        <f t="array" ref="F9">IFERROR(INDEX('All Abstracts'!$F:$F,MATCH(8,'All Abstracts'!$S:$S,0)),"")</f>
        <v/>
      </c>
      <c r="G9" s="3" t="str">
        <f t="array" ref="G9">IFERROR(INDEX('All Abstracts'!$G:$G,MATCH(8,'All Abstracts'!$S:$S,0)),"")</f>
        <v/>
      </c>
    </row>
    <row r="10">
      <c r="A10" s="3">
        <v>9.0</v>
      </c>
      <c r="B10" s="3" t="str">
        <f t="array" ref="B10">IFERROR(INDEX('All Abstracts'!$A:$A,MATCH(9,'All Abstracts'!$S:$S,0)),"")</f>
        <v/>
      </c>
      <c r="C10" s="3" t="str">
        <f t="array" ref="C10">IFERROR(INDEX('All Abstracts'!$B:$B,MATCH(9,'All Abstracts'!$S:$S,0)),"")</f>
        <v/>
      </c>
      <c r="D10" s="3" t="str">
        <f t="array" ref="D10">IFERROR(INDEX('All Abstracts'!$C:$C,MATCH(9,'All Abstracts'!$S:$S,0)),"")</f>
        <v/>
      </c>
      <c r="E10" s="4" t="str">
        <f t="array" ref="E10">IFERROR(INDEX('All Abstracts'!$E:$E,MATCH(9,'All Abstracts'!$S:$S,0)),"")</f>
        <v/>
      </c>
      <c r="F10" s="3" t="str">
        <f t="array" ref="F10">IFERROR(INDEX('All Abstracts'!$F:$F,MATCH(9,'All Abstracts'!$S:$S,0)),"")</f>
        <v/>
      </c>
      <c r="G10" s="3" t="str">
        <f t="array" ref="G10">IFERROR(INDEX('All Abstracts'!$G:$G,MATCH(9,'All Abstracts'!$S:$S,0)),"")</f>
        <v/>
      </c>
    </row>
    <row r="11">
      <c r="A11" s="3">
        <v>10.0</v>
      </c>
      <c r="B11" s="3" t="str">
        <f t="array" ref="B11">IFERROR(INDEX('All Abstracts'!$A:$A,MATCH(10,'All Abstracts'!$S:$S,0)),"")</f>
        <v/>
      </c>
      <c r="C11" s="3" t="str">
        <f t="array" ref="C11">IFERROR(INDEX('All Abstracts'!$B:$B,MATCH(10,'All Abstracts'!$S:$S,0)),"")</f>
        <v/>
      </c>
      <c r="D11" s="3" t="str">
        <f t="array" ref="D11">IFERROR(INDEX('All Abstracts'!$C:$C,MATCH(10,'All Abstracts'!$S:$S,0)),"")</f>
        <v/>
      </c>
      <c r="E11" s="4" t="str">
        <f t="array" ref="E11">IFERROR(INDEX('All Abstracts'!$E:$E,MATCH(10,'All Abstracts'!$S:$S,0)),"")</f>
        <v/>
      </c>
      <c r="F11" s="3" t="str">
        <f t="array" ref="F11">IFERROR(INDEX('All Abstracts'!$F:$F,MATCH(10,'All Abstracts'!$S:$S,0)),"")</f>
        <v/>
      </c>
      <c r="G11" s="3" t="str">
        <f t="array" ref="G11">IFERROR(INDEX('All Abstracts'!$G:$G,MATCH(10,'All Abstracts'!$S:$S,0)),"")</f>
        <v/>
      </c>
    </row>
    <row r="12">
      <c r="A12" s="3">
        <v>11.0</v>
      </c>
      <c r="B12" s="3" t="str">
        <f t="array" ref="B12">IFERROR(INDEX('All Abstracts'!$A:$A,MATCH(11,'All Abstracts'!$S:$S,0)),"")</f>
        <v/>
      </c>
      <c r="C12" s="3" t="str">
        <f t="array" ref="C12">IFERROR(INDEX('All Abstracts'!$B:$B,MATCH(11,'All Abstracts'!$S:$S,0)),"")</f>
        <v/>
      </c>
      <c r="D12" s="3" t="str">
        <f t="array" ref="D12">IFERROR(INDEX('All Abstracts'!$C:$C,MATCH(11,'All Abstracts'!$S:$S,0)),"")</f>
        <v/>
      </c>
      <c r="E12" s="4" t="str">
        <f t="array" ref="E12">IFERROR(INDEX('All Abstracts'!$E:$E,MATCH(11,'All Abstracts'!$S:$S,0)),"")</f>
        <v/>
      </c>
      <c r="F12" s="3" t="str">
        <f t="array" ref="F12">IFERROR(INDEX('All Abstracts'!$F:$F,MATCH(11,'All Abstracts'!$S:$S,0)),"")</f>
        <v/>
      </c>
      <c r="G12" s="3" t="str">
        <f t="array" ref="G12">IFERROR(INDEX('All Abstracts'!$G:$G,MATCH(11,'All Abstracts'!$S:$S,0)),"")</f>
        <v/>
      </c>
    </row>
    <row r="13">
      <c r="A13" s="3">
        <v>12.0</v>
      </c>
      <c r="B13" s="3" t="str">
        <f t="array" ref="B13">IFERROR(INDEX('All Abstracts'!$A:$A,MATCH(12,'All Abstracts'!$S:$S,0)),"")</f>
        <v/>
      </c>
      <c r="C13" s="3" t="str">
        <f t="array" ref="C13">IFERROR(INDEX('All Abstracts'!$B:$B,MATCH(12,'All Abstracts'!$S:$S,0)),"")</f>
        <v/>
      </c>
      <c r="D13" s="3" t="str">
        <f t="array" ref="D13">IFERROR(INDEX('All Abstracts'!$C:$C,MATCH(12,'All Abstracts'!$S:$S,0)),"")</f>
        <v/>
      </c>
      <c r="E13" s="4" t="str">
        <f t="array" ref="E13">IFERROR(INDEX('All Abstracts'!$E:$E,MATCH(12,'All Abstracts'!$S:$S,0)),"")</f>
        <v/>
      </c>
      <c r="F13" s="3" t="str">
        <f t="array" ref="F13">IFERROR(INDEX('All Abstracts'!$F:$F,MATCH(12,'All Abstracts'!$S:$S,0)),"")</f>
        <v/>
      </c>
      <c r="G13" s="3" t="str">
        <f t="array" ref="G13">IFERROR(INDEX('All Abstracts'!$G:$G,MATCH(12,'All Abstracts'!$S:$S,0)),"")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conditionalFormatting sqref="A2:G13">
    <cfRule type="expression" dxfId="0" priority="1">
      <formula>$B2=""</formula>
    </cfRule>
  </conditionalFormatting>
  <conditionalFormatting sqref="A2:G13">
    <cfRule type="expression" dxfId="1" priority="2">
      <formula>$B2&lt;&gt;""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16.0"/>
    <col customWidth="1" min="4" max="4" width="12.0"/>
    <col customWidth="1" min="5" max="5" width="40.0"/>
    <col customWidth="1" min="6" max="7" width="12.0"/>
    <col customWidth="1" min="8" max="8" width="9.86"/>
    <col customWidth="1" min="9" max="19" width="10.0"/>
    <col customWidth="1" min="20" max="24" width="8.71"/>
  </cols>
  <sheetData>
    <row r="1" ht="31.5" customHeight="1">
      <c r="A1" s="25" t="s">
        <v>7</v>
      </c>
      <c r="B1" s="1" t="s">
        <v>2</v>
      </c>
      <c r="C1" s="1" t="s">
        <v>3</v>
      </c>
      <c r="D1" s="1" t="s">
        <v>22</v>
      </c>
      <c r="E1" s="1" t="s">
        <v>4</v>
      </c>
      <c r="F1" s="1" t="s">
        <v>5</v>
      </c>
      <c r="G1" s="1" t="s">
        <v>6</v>
      </c>
      <c r="H1" s="26" t="s">
        <v>23</v>
      </c>
      <c r="I1" s="26" t="s">
        <v>24</v>
      </c>
      <c r="J1" s="26" t="s">
        <v>25</v>
      </c>
      <c r="K1" s="26" t="s">
        <v>26</v>
      </c>
      <c r="L1" s="26" t="s">
        <v>27</v>
      </c>
      <c r="M1" s="26" t="s">
        <v>28</v>
      </c>
      <c r="N1" s="26" t="s">
        <v>29</v>
      </c>
      <c r="O1" s="26" t="s">
        <v>30</v>
      </c>
      <c r="P1" s="26" t="s">
        <v>31</v>
      </c>
      <c r="Q1" s="26" t="s">
        <v>32</v>
      </c>
      <c r="R1" s="26" t="s">
        <v>33</v>
      </c>
      <c r="S1" s="26" t="s">
        <v>34</v>
      </c>
    </row>
    <row r="2" ht="15.0" customHeight="1">
      <c r="A2" s="3" t="s">
        <v>35</v>
      </c>
      <c r="B2" s="27" t="s">
        <v>36</v>
      </c>
      <c r="C2" s="3" t="s">
        <v>37</v>
      </c>
      <c r="D2" s="28" t="str">
        <f t="shared" ref="D2:D13" si="1">IF(OR(H2="Y",I2="Y",J2="Y",K2="Y"),"High",IF(COUNTIF(L2:P2,"Y")&gt;=2,"Moderate","Low"))</f>
        <v>Low</v>
      </c>
      <c r="E2" s="29" t="str">
        <f t="shared" ref="E2:E13" si="2">IF(D2="Low","No significant flags",TEXTJOIN(", ",TRUE(),IF(H2="Y","Prior Retractions",""),IF(I2="Y","Tortured Phrases",""),IF(J2="Y","LLM Response Trace",""),IF(K2="Y","Templating (Cross-Author)",""),IF(L2="Y","Submission Volume",""),IF(M2="Y","Affiliation Relevance",""),IF(N2="Y","Email Validity",""),IF(O2="Y","Author Count Deviation",""),IF(P2="Y","Author Network","")))</f>
        <v>No significant flags</v>
      </c>
      <c r="F2" s="28">
        <f t="shared" ref="F2:F13" si="3">COUNTIF(H2:K2,"Y")</f>
        <v>0</v>
      </c>
      <c r="G2" s="28">
        <f t="shared" ref="G2:G13" si="4">COUNTIF(L2:P2,"Y")</f>
        <v>0</v>
      </c>
      <c r="H2" s="28" t="str">
        <f t="array" ref="H2">INDEX('Check Detail'!D:D,MATCH($A2,'Check Detail'!$A:$A,0))</f>
        <v>N</v>
      </c>
      <c r="I2" s="28" t="str">
        <f t="array" ref="I2">INDEX('Check Detail'!F:F,MATCH($A2,'Check Detail'!$A:$A,0))</f>
        <v>N</v>
      </c>
      <c r="J2" s="28" t="str">
        <f t="array" ref="J2">INDEX('Check Detail'!H:H,MATCH($A2,'Check Detail'!$A:$A,0))</f>
        <v>N</v>
      </c>
      <c r="K2" s="28" t="str">
        <f t="array" ref="K2">INDEX('Check Detail'!J:J,MATCH($A2,'Check Detail'!$A:$A,0))</f>
        <v>N</v>
      </c>
      <c r="L2" s="28" t="str">
        <f t="array" ref="L2">INDEX('Check Detail'!L:L,MATCH($A2,'Check Detail'!$A:$A,0))</f>
        <v>N</v>
      </c>
      <c r="M2" s="28" t="str">
        <f t="array" ref="M2">INDEX('Check Detail'!N:N,MATCH($A2,'Check Detail'!$A:$A,0))</f>
        <v>N</v>
      </c>
      <c r="N2" s="28" t="str">
        <f t="array" ref="N2">INDEX('Check Detail'!P:P,MATCH($A2,'Check Detail'!$A:$A,0))</f>
        <v>N</v>
      </c>
      <c r="O2" s="28" t="str">
        <f t="array" ref="O2">INDEX('Check Detail'!R:R,MATCH($A2,'Check Detail'!$A:$A,0))</f>
        <v>N</v>
      </c>
      <c r="P2" s="28" t="str">
        <f t="array" ref="P2">INDEX('Check Detail'!T:T,MATCH($A2,'Check Detail'!$A:$A,0))</f>
        <v>N</v>
      </c>
      <c r="Q2" s="3" t="str">
        <f t="shared" ref="Q2:Q13" si="5">IF(D2="High",COUNTIFS($D$2:D2,"High"),"")</f>
        <v/>
      </c>
      <c r="R2" s="3" t="str">
        <f t="shared" ref="R2:R13" si="6">IF(D2="Moderate",COUNTIFS($D$2:D2,"Moderate"),"")</f>
        <v/>
      </c>
      <c r="S2" s="3">
        <f t="shared" ref="S2:S13" si="7">IF(D2="Low",COUNTIFS($D$2:D2,"Low"),"")</f>
        <v>1</v>
      </c>
    </row>
    <row r="3" ht="15.0" customHeight="1">
      <c r="A3" s="3" t="s">
        <v>38</v>
      </c>
      <c r="B3" s="27" t="s">
        <v>39</v>
      </c>
      <c r="C3" s="3" t="s">
        <v>40</v>
      </c>
      <c r="D3" s="28" t="str">
        <f t="shared" si="1"/>
        <v>Moderate</v>
      </c>
      <c r="E3" s="29" t="str">
        <f t="shared" si="2"/>
        <v>Affiliation Relevance, Author Count Deviation</v>
      </c>
      <c r="F3" s="28">
        <f t="shared" si="3"/>
        <v>0</v>
      </c>
      <c r="G3" s="28">
        <f t="shared" si="4"/>
        <v>2</v>
      </c>
      <c r="H3" s="28" t="str">
        <f t="array" ref="H3">INDEX('Check Detail'!D:D,MATCH($A3,'Check Detail'!$A:$A,0))</f>
        <v>N</v>
      </c>
      <c r="I3" s="28" t="str">
        <f t="array" ref="I3">INDEX('Check Detail'!F:F,MATCH($A3,'Check Detail'!$A:$A,0))</f>
        <v>N</v>
      </c>
      <c r="J3" s="28" t="str">
        <f t="array" ref="J3">INDEX('Check Detail'!H:H,MATCH($A3,'Check Detail'!$A:$A,0))</f>
        <v>N</v>
      </c>
      <c r="K3" s="28" t="str">
        <f t="array" ref="K3">INDEX('Check Detail'!J:J,MATCH($A3,'Check Detail'!$A:$A,0))</f>
        <v>N</v>
      </c>
      <c r="L3" s="28" t="str">
        <f t="array" ref="L3">INDEX('Check Detail'!L:L,MATCH($A3,'Check Detail'!$A:$A,0))</f>
        <v>N</v>
      </c>
      <c r="M3" s="28" t="str">
        <f t="array" ref="M3">INDEX('Check Detail'!N:N,MATCH($A3,'Check Detail'!$A:$A,0))</f>
        <v>Y</v>
      </c>
      <c r="N3" s="28" t="str">
        <f t="array" ref="N3">INDEX('Check Detail'!P:P,MATCH($A3,'Check Detail'!$A:$A,0))</f>
        <v>N</v>
      </c>
      <c r="O3" s="28" t="str">
        <f t="array" ref="O3">INDEX('Check Detail'!R:R,MATCH($A3,'Check Detail'!$A:$A,0))</f>
        <v>Y</v>
      </c>
      <c r="P3" s="28" t="str">
        <f t="array" ref="P3">INDEX('Check Detail'!T:T,MATCH($A3,'Check Detail'!$A:$A,0))</f>
        <v>N</v>
      </c>
      <c r="Q3" s="3" t="str">
        <f t="shared" si="5"/>
        <v/>
      </c>
      <c r="R3" s="3">
        <f t="shared" si="6"/>
        <v>1</v>
      </c>
      <c r="S3" s="3" t="str">
        <f t="shared" si="7"/>
        <v/>
      </c>
    </row>
    <row r="4" ht="15.0" customHeight="1">
      <c r="A4" s="3" t="s">
        <v>41</v>
      </c>
      <c r="B4" s="27" t="s">
        <v>42</v>
      </c>
      <c r="C4" s="3" t="s">
        <v>43</v>
      </c>
      <c r="D4" s="28" t="str">
        <f t="shared" si="1"/>
        <v>High</v>
      </c>
      <c r="E4" s="29" t="str">
        <f t="shared" si="2"/>
        <v>Tortured Phrases</v>
      </c>
      <c r="F4" s="28">
        <f t="shared" si="3"/>
        <v>1</v>
      </c>
      <c r="G4" s="28">
        <f t="shared" si="4"/>
        <v>0</v>
      </c>
      <c r="H4" s="28" t="str">
        <f t="array" ref="H4">INDEX('Check Detail'!D:D,MATCH($A4,'Check Detail'!$A:$A,0))</f>
        <v>N</v>
      </c>
      <c r="I4" s="28" t="str">
        <f t="array" ref="I4">INDEX('Check Detail'!F:F,MATCH($A4,'Check Detail'!$A:$A,0))</f>
        <v>Y</v>
      </c>
      <c r="J4" s="28" t="str">
        <f t="array" ref="J4">INDEX('Check Detail'!H:H,MATCH($A4,'Check Detail'!$A:$A,0))</f>
        <v>N</v>
      </c>
      <c r="K4" s="28" t="str">
        <f t="array" ref="K4">INDEX('Check Detail'!J:J,MATCH($A4,'Check Detail'!$A:$A,0))</f>
        <v>N</v>
      </c>
      <c r="L4" s="28" t="str">
        <f t="array" ref="L4">INDEX('Check Detail'!L:L,MATCH($A4,'Check Detail'!$A:$A,0))</f>
        <v>N</v>
      </c>
      <c r="M4" s="28" t="str">
        <f t="array" ref="M4">INDEX('Check Detail'!N:N,MATCH($A4,'Check Detail'!$A:$A,0))</f>
        <v>N</v>
      </c>
      <c r="N4" s="28" t="str">
        <f t="array" ref="N4">INDEX('Check Detail'!P:P,MATCH($A4,'Check Detail'!$A:$A,0))</f>
        <v>N</v>
      </c>
      <c r="O4" s="28" t="str">
        <f t="array" ref="O4">INDEX('Check Detail'!R:R,MATCH($A4,'Check Detail'!$A:$A,0))</f>
        <v>N</v>
      </c>
      <c r="P4" s="28" t="str">
        <f t="array" ref="P4">INDEX('Check Detail'!T:T,MATCH($A4,'Check Detail'!$A:$A,0))</f>
        <v>N</v>
      </c>
      <c r="Q4" s="3">
        <f t="shared" si="5"/>
        <v>1</v>
      </c>
      <c r="R4" s="3" t="str">
        <f t="shared" si="6"/>
        <v/>
      </c>
      <c r="S4" s="3" t="str">
        <f t="shared" si="7"/>
        <v/>
      </c>
    </row>
    <row r="5" ht="15.0" customHeight="1">
      <c r="A5" s="3" t="s">
        <v>44</v>
      </c>
      <c r="B5" s="27" t="s">
        <v>45</v>
      </c>
      <c r="C5" s="3" t="s">
        <v>46</v>
      </c>
      <c r="D5" s="28" t="str">
        <f t="shared" si="1"/>
        <v>Low</v>
      </c>
      <c r="E5" s="29" t="str">
        <f t="shared" si="2"/>
        <v>No significant flags</v>
      </c>
      <c r="F5" s="28">
        <f t="shared" si="3"/>
        <v>0</v>
      </c>
      <c r="G5" s="28">
        <f t="shared" si="4"/>
        <v>0</v>
      </c>
      <c r="H5" s="28" t="str">
        <f t="array" ref="H5">INDEX('Check Detail'!D:D,MATCH($A5,'Check Detail'!$A:$A,0))</f>
        <v>N</v>
      </c>
      <c r="I5" s="28" t="str">
        <f t="array" ref="I5">INDEX('Check Detail'!F:F,MATCH($A5,'Check Detail'!$A:$A,0))</f>
        <v>N</v>
      </c>
      <c r="J5" s="28" t="str">
        <f t="array" ref="J5">INDEX('Check Detail'!H:H,MATCH($A5,'Check Detail'!$A:$A,0))</f>
        <v>N</v>
      </c>
      <c r="K5" s="28" t="str">
        <f t="array" ref="K5">INDEX('Check Detail'!J:J,MATCH($A5,'Check Detail'!$A:$A,0))</f>
        <v>N</v>
      </c>
      <c r="L5" s="28" t="str">
        <f t="array" ref="L5">INDEX('Check Detail'!L:L,MATCH($A5,'Check Detail'!$A:$A,0))</f>
        <v>N</v>
      </c>
      <c r="M5" s="28" t="str">
        <f t="array" ref="M5">INDEX('Check Detail'!N:N,MATCH($A5,'Check Detail'!$A:$A,0))</f>
        <v>N</v>
      </c>
      <c r="N5" s="28" t="str">
        <f t="array" ref="N5">INDEX('Check Detail'!P:P,MATCH($A5,'Check Detail'!$A:$A,0))</f>
        <v>N</v>
      </c>
      <c r="O5" s="28" t="str">
        <f t="array" ref="O5">INDEX('Check Detail'!R:R,MATCH($A5,'Check Detail'!$A:$A,0))</f>
        <v>N</v>
      </c>
      <c r="P5" s="28" t="str">
        <f t="array" ref="P5">INDEX('Check Detail'!T:T,MATCH($A5,'Check Detail'!$A:$A,0))</f>
        <v>N</v>
      </c>
      <c r="Q5" s="3" t="str">
        <f t="shared" si="5"/>
        <v/>
      </c>
      <c r="R5" s="3" t="str">
        <f t="shared" si="6"/>
        <v/>
      </c>
      <c r="S5" s="3">
        <f t="shared" si="7"/>
        <v>2</v>
      </c>
    </row>
    <row r="6" ht="15.0" customHeight="1">
      <c r="A6" s="3" t="s">
        <v>47</v>
      </c>
      <c r="B6" s="27" t="s">
        <v>48</v>
      </c>
      <c r="C6" s="3" t="s">
        <v>49</v>
      </c>
      <c r="D6" s="28" t="str">
        <f t="shared" si="1"/>
        <v>High</v>
      </c>
      <c r="E6" s="29" t="str">
        <f t="shared" si="2"/>
        <v>LLM Response Trace</v>
      </c>
      <c r="F6" s="28">
        <f t="shared" si="3"/>
        <v>1</v>
      </c>
      <c r="G6" s="28">
        <f t="shared" si="4"/>
        <v>0</v>
      </c>
      <c r="H6" s="28" t="str">
        <f t="array" ref="H6">INDEX('Check Detail'!D:D,MATCH($A6,'Check Detail'!$A:$A,0))</f>
        <v>N</v>
      </c>
      <c r="I6" s="28" t="str">
        <f t="array" ref="I6">INDEX('Check Detail'!F:F,MATCH($A6,'Check Detail'!$A:$A,0))</f>
        <v>N</v>
      </c>
      <c r="J6" s="28" t="str">
        <f t="array" ref="J6">INDEX('Check Detail'!H:H,MATCH($A6,'Check Detail'!$A:$A,0))</f>
        <v>Y</v>
      </c>
      <c r="K6" s="28" t="str">
        <f t="array" ref="K6">INDEX('Check Detail'!J:J,MATCH($A6,'Check Detail'!$A:$A,0))</f>
        <v>N</v>
      </c>
      <c r="L6" s="28" t="str">
        <f t="array" ref="L6">INDEX('Check Detail'!L:L,MATCH($A6,'Check Detail'!$A:$A,0))</f>
        <v>N</v>
      </c>
      <c r="M6" s="28" t="str">
        <f t="array" ref="M6">INDEX('Check Detail'!N:N,MATCH($A6,'Check Detail'!$A:$A,0))</f>
        <v>N</v>
      </c>
      <c r="N6" s="28" t="str">
        <f t="array" ref="N6">INDEX('Check Detail'!P:P,MATCH($A6,'Check Detail'!$A:$A,0))</f>
        <v>N</v>
      </c>
      <c r="O6" s="28" t="str">
        <f t="array" ref="O6">INDEX('Check Detail'!R:R,MATCH($A6,'Check Detail'!$A:$A,0))</f>
        <v>N</v>
      </c>
      <c r="P6" s="28" t="str">
        <f t="array" ref="P6">INDEX('Check Detail'!T:T,MATCH($A6,'Check Detail'!$A:$A,0))</f>
        <v>N</v>
      </c>
      <c r="Q6" s="3">
        <f t="shared" si="5"/>
        <v>2</v>
      </c>
      <c r="R6" s="3" t="str">
        <f t="shared" si="6"/>
        <v/>
      </c>
      <c r="S6" s="3" t="str">
        <f t="shared" si="7"/>
        <v/>
      </c>
    </row>
    <row r="7" ht="15.0" customHeight="1">
      <c r="A7" s="3" t="s">
        <v>50</v>
      </c>
      <c r="B7" s="27" t="s">
        <v>51</v>
      </c>
      <c r="C7" s="3" t="s">
        <v>52</v>
      </c>
      <c r="D7" s="28" t="str">
        <f t="shared" si="1"/>
        <v>Low</v>
      </c>
      <c r="E7" s="29" t="str">
        <f t="shared" si="2"/>
        <v>No significant flags</v>
      </c>
      <c r="F7" s="28">
        <f t="shared" si="3"/>
        <v>0</v>
      </c>
      <c r="G7" s="28">
        <f t="shared" si="4"/>
        <v>1</v>
      </c>
      <c r="H7" s="28" t="str">
        <f t="array" ref="H7">INDEX('Check Detail'!D:D,MATCH($A7,'Check Detail'!$A:$A,0))</f>
        <v>N</v>
      </c>
      <c r="I7" s="28" t="str">
        <f t="array" ref="I7">INDEX('Check Detail'!F:F,MATCH($A7,'Check Detail'!$A:$A,0))</f>
        <v>N</v>
      </c>
      <c r="J7" s="28" t="str">
        <f t="array" ref="J7">INDEX('Check Detail'!H:H,MATCH($A7,'Check Detail'!$A:$A,0))</f>
        <v>N</v>
      </c>
      <c r="K7" s="28" t="str">
        <f t="array" ref="K7">INDEX('Check Detail'!J:J,MATCH($A7,'Check Detail'!$A:$A,0))</f>
        <v>N</v>
      </c>
      <c r="L7" s="28" t="str">
        <f t="array" ref="L7">INDEX('Check Detail'!L:L,MATCH($A7,'Check Detail'!$A:$A,0))</f>
        <v>Y</v>
      </c>
      <c r="M7" s="28" t="str">
        <f t="array" ref="M7">INDEX('Check Detail'!N:N,MATCH($A7,'Check Detail'!$A:$A,0))</f>
        <v>N</v>
      </c>
      <c r="N7" s="28" t="str">
        <f t="array" ref="N7">INDEX('Check Detail'!P:P,MATCH($A7,'Check Detail'!$A:$A,0))</f>
        <v>N</v>
      </c>
      <c r="O7" s="28" t="str">
        <f t="array" ref="O7">INDEX('Check Detail'!R:R,MATCH($A7,'Check Detail'!$A:$A,0))</f>
        <v>N</v>
      </c>
      <c r="P7" s="28" t="str">
        <f t="array" ref="P7">INDEX('Check Detail'!T:T,MATCH($A7,'Check Detail'!$A:$A,0))</f>
        <v>N</v>
      </c>
      <c r="Q7" s="3" t="str">
        <f t="shared" si="5"/>
        <v/>
      </c>
      <c r="R7" s="3" t="str">
        <f t="shared" si="6"/>
        <v/>
      </c>
      <c r="S7" s="3">
        <f t="shared" si="7"/>
        <v>3</v>
      </c>
    </row>
    <row r="8" ht="15.0" customHeight="1">
      <c r="A8" s="3" t="s">
        <v>53</v>
      </c>
      <c r="B8" s="27" t="s">
        <v>54</v>
      </c>
      <c r="C8" s="3" t="s">
        <v>55</v>
      </c>
      <c r="D8" s="28" t="str">
        <f t="shared" si="1"/>
        <v>Moderate</v>
      </c>
      <c r="E8" s="29" t="str">
        <f t="shared" si="2"/>
        <v>Email Validity, Author Network</v>
      </c>
      <c r="F8" s="28">
        <f t="shared" si="3"/>
        <v>0</v>
      </c>
      <c r="G8" s="28">
        <f t="shared" si="4"/>
        <v>2</v>
      </c>
      <c r="H8" s="28" t="str">
        <f t="array" ref="H8">INDEX('Check Detail'!D:D,MATCH($A8,'Check Detail'!$A:$A,0))</f>
        <v>N</v>
      </c>
      <c r="I8" s="28" t="str">
        <f t="array" ref="I8">INDEX('Check Detail'!F:F,MATCH($A8,'Check Detail'!$A:$A,0))</f>
        <v>N</v>
      </c>
      <c r="J8" s="28" t="str">
        <f t="array" ref="J8">INDEX('Check Detail'!H:H,MATCH($A8,'Check Detail'!$A:$A,0))</f>
        <v>N</v>
      </c>
      <c r="K8" s="28" t="str">
        <f t="array" ref="K8">INDEX('Check Detail'!J:J,MATCH($A8,'Check Detail'!$A:$A,0))</f>
        <v>N</v>
      </c>
      <c r="L8" s="28" t="str">
        <f t="array" ref="L8">INDEX('Check Detail'!L:L,MATCH($A8,'Check Detail'!$A:$A,0))</f>
        <v>N</v>
      </c>
      <c r="M8" s="28" t="str">
        <f t="array" ref="M8">INDEX('Check Detail'!N:N,MATCH($A8,'Check Detail'!$A:$A,0))</f>
        <v>N</v>
      </c>
      <c r="N8" s="28" t="str">
        <f t="array" ref="N8">INDEX('Check Detail'!P:P,MATCH($A8,'Check Detail'!$A:$A,0))</f>
        <v>Y</v>
      </c>
      <c r="O8" s="28" t="str">
        <f t="array" ref="O8">INDEX('Check Detail'!R:R,MATCH($A8,'Check Detail'!$A:$A,0))</f>
        <v>N</v>
      </c>
      <c r="P8" s="28" t="str">
        <f t="array" ref="P8">INDEX('Check Detail'!T:T,MATCH($A8,'Check Detail'!$A:$A,0))</f>
        <v>Y</v>
      </c>
      <c r="Q8" s="3" t="str">
        <f t="shared" si="5"/>
        <v/>
      </c>
      <c r="R8" s="3">
        <f t="shared" si="6"/>
        <v>2</v>
      </c>
      <c r="S8" s="3" t="str">
        <f t="shared" si="7"/>
        <v/>
      </c>
    </row>
    <row r="9" ht="15.0" customHeight="1">
      <c r="A9" s="3" t="s">
        <v>56</v>
      </c>
      <c r="B9" s="27" t="s">
        <v>57</v>
      </c>
      <c r="C9" s="3" t="s">
        <v>58</v>
      </c>
      <c r="D9" s="28" t="str">
        <f t="shared" si="1"/>
        <v>Low</v>
      </c>
      <c r="E9" s="29" t="str">
        <f t="shared" si="2"/>
        <v>No significant flags</v>
      </c>
      <c r="F9" s="28">
        <f t="shared" si="3"/>
        <v>0</v>
      </c>
      <c r="G9" s="28">
        <f t="shared" si="4"/>
        <v>0</v>
      </c>
      <c r="H9" s="28" t="str">
        <f t="array" ref="H9">INDEX('Check Detail'!D:D,MATCH($A9,'Check Detail'!$A:$A,0))</f>
        <v>N</v>
      </c>
      <c r="I9" s="28" t="str">
        <f t="array" ref="I9">INDEX('Check Detail'!F:F,MATCH($A9,'Check Detail'!$A:$A,0))</f>
        <v>N</v>
      </c>
      <c r="J9" s="28" t="str">
        <f t="array" ref="J9">INDEX('Check Detail'!H:H,MATCH($A9,'Check Detail'!$A:$A,0))</f>
        <v>N</v>
      </c>
      <c r="K9" s="28" t="str">
        <f t="array" ref="K9">INDEX('Check Detail'!J:J,MATCH($A9,'Check Detail'!$A:$A,0))</f>
        <v>N</v>
      </c>
      <c r="L9" s="28" t="str">
        <f t="array" ref="L9">INDEX('Check Detail'!L:L,MATCH($A9,'Check Detail'!$A:$A,0))</f>
        <v>N</v>
      </c>
      <c r="M9" s="28" t="str">
        <f t="array" ref="M9">INDEX('Check Detail'!N:N,MATCH($A9,'Check Detail'!$A:$A,0))</f>
        <v>N</v>
      </c>
      <c r="N9" s="28" t="str">
        <f t="array" ref="N9">INDEX('Check Detail'!P:P,MATCH($A9,'Check Detail'!$A:$A,0))</f>
        <v>N</v>
      </c>
      <c r="O9" s="28" t="str">
        <f t="array" ref="O9">INDEX('Check Detail'!R:R,MATCH($A9,'Check Detail'!$A:$A,0))</f>
        <v>N</v>
      </c>
      <c r="P9" s="28" t="str">
        <f t="array" ref="P9">INDEX('Check Detail'!T:T,MATCH($A9,'Check Detail'!$A:$A,0))</f>
        <v>N</v>
      </c>
      <c r="Q9" s="3" t="str">
        <f t="shared" si="5"/>
        <v/>
      </c>
      <c r="R9" s="3" t="str">
        <f t="shared" si="6"/>
        <v/>
      </c>
      <c r="S9" s="3">
        <f t="shared" si="7"/>
        <v>4</v>
      </c>
    </row>
    <row r="10" ht="15.0" customHeight="1">
      <c r="A10" s="3" t="s">
        <v>59</v>
      </c>
      <c r="B10" s="27" t="s">
        <v>60</v>
      </c>
      <c r="C10" s="3" t="s">
        <v>61</v>
      </c>
      <c r="D10" s="28" t="str">
        <f t="shared" si="1"/>
        <v>High</v>
      </c>
      <c r="E10" s="29" t="str">
        <f t="shared" si="2"/>
        <v>Prior Retractions</v>
      </c>
      <c r="F10" s="28">
        <f t="shared" si="3"/>
        <v>1</v>
      </c>
      <c r="G10" s="28">
        <f t="shared" si="4"/>
        <v>0</v>
      </c>
      <c r="H10" s="28" t="str">
        <f t="array" ref="H10">INDEX('Check Detail'!D:D,MATCH($A10,'Check Detail'!$A:$A,0))</f>
        <v>Y</v>
      </c>
      <c r="I10" s="28" t="str">
        <f t="array" ref="I10">INDEX('Check Detail'!F:F,MATCH($A10,'Check Detail'!$A:$A,0))</f>
        <v>N</v>
      </c>
      <c r="J10" s="28" t="str">
        <f t="array" ref="J10">INDEX('Check Detail'!H:H,MATCH($A10,'Check Detail'!$A:$A,0))</f>
        <v>N</v>
      </c>
      <c r="K10" s="28" t="str">
        <f t="array" ref="K10">INDEX('Check Detail'!J:J,MATCH($A10,'Check Detail'!$A:$A,0))</f>
        <v>N</v>
      </c>
      <c r="L10" s="28" t="str">
        <f t="array" ref="L10">INDEX('Check Detail'!L:L,MATCH($A10,'Check Detail'!$A:$A,0))</f>
        <v>N</v>
      </c>
      <c r="M10" s="28" t="str">
        <f t="array" ref="M10">INDEX('Check Detail'!N:N,MATCH($A10,'Check Detail'!$A:$A,0))</f>
        <v>N</v>
      </c>
      <c r="N10" s="28" t="str">
        <f t="array" ref="N10">INDEX('Check Detail'!P:P,MATCH($A10,'Check Detail'!$A:$A,0))</f>
        <v>N</v>
      </c>
      <c r="O10" s="28" t="str">
        <f t="array" ref="O10">INDEX('Check Detail'!R:R,MATCH($A10,'Check Detail'!$A:$A,0))</f>
        <v>N</v>
      </c>
      <c r="P10" s="28" t="str">
        <f t="array" ref="P10">INDEX('Check Detail'!T:T,MATCH($A10,'Check Detail'!$A:$A,0))</f>
        <v>N</v>
      </c>
      <c r="Q10" s="3">
        <f t="shared" si="5"/>
        <v>3</v>
      </c>
      <c r="R10" s="3" t="str">
        <f t="shared" si="6"/>
        <v/>
      </c>
      <c r="S10" s="3" t="str">
        <f t="shared" si="7"/>
        <v/>
      </c>
    </row>
    <row r="11" ht="15.0" customHeight="1">
      <c r="A11" s="3" t="s">
        <v>62</v>
      </c>
      <c r="B11" s="27" t="s">
        <v>63</v>
      </c>
      <c r="C11" s="3" t="s">
        <v>64</v>
      </c>
      <c r="D11" s="28" t="str">
        <f t="shared" si="1"/>
        <v>High</v>
      </c>
      <c r="E11" s="29" t="str">
        <f t="shared" si="2"/>
        <v>Templating (Cross-Author)</v>
      </c>
      <c r="F11" s="28">
        <f t="shared" si="3"/>
        <v>1</v>
      </c>
      <c r="G11" s="28">
        <f t="shared" si="4"/>
        <v>0</v>
      </c>
      <c r="H11" s="28" t="str">
        <f t="array" ref="H11">INDEX('Check Detail'!D:D,MATCH($A11,'Check Detail'!$A:$A,0))</f>
        <v>N</v>
      </c>
      <c r="I11" s="28" t="str">
        <f t="array" ref="I11">INDEX('Check Detail'!F:F,MATCH($A11,'Check Detail'!$A:$A,0))</f>
        <v>N</v>
      </c>
      <c r="J11" s="28" t="str">
        <f t="array" ref="J11">INDEX('Check Detail'!H:H,MATCH($A11,'Check Detail'!$A:$A,0))</f>
        <v>N</v>
      </c>
      <c r="K11" s="28" t="str">
        <f t="array" ref="K11">INDEX('Check Detail'!J:J,MATCH($A11,'Check Detail'!$A:$A,0))</f>
        <v>Y</v>
      </c>
      <c r="L11" s="28" t="str">
        <f t="array" ref="L11">INDEX('Check Detail'!L:L,MATCH($A11,'Check Detail'!$A:$A,0))</f>
        <v>N</v>
      </c>
      <c r="M11" s="28" t="str">
        <f t="array" ref="M11">INDEX('Check Detail'!N:N,MATCH($A11,'Check Detail'!$A:$A,0))</f>
        <v>N</v>
      </c>
      <c r="N11" s="28" t="str">
        <f t="array" ref="N11">INDEX('Check Detail'!P:P,MATCH($A11,'Check Detail'!$A:$A,0))</f>
        <v>N</v>
      </c>
      <c r="O11" s="28" t="str">
        <f t="array" ref="O11">INDEX('Check Detail'!R:R,MATCH($A11,'Check Detail'!$A:$A,0))</f>
        <v>N</v>
      </c>
      <c r="P11" s="28" t="str">
        <f t="array" ref="P11">INDEX('Check Detail'!T:T,MATCH($A11,'Check Detail'!$A:$A,0))</f>
        <v>N</v>
      </c>
      <c r="Q11" s="3">
        <f t="shared" si="5"/>
        <v>4</v>
      </c>
      <c r="R11" s="3" t="str">
        <f t="shared" si="6"/>
        <v/>
      </c>
      <c r="S11" s="3" t="str">
        <f t="shared" si="7"/>
        <v/>
      </c>
    </row>
    <row r="12" ht="15.0" customHeight="1">
      <c r="A12" s="3" t="s">
        <v>65</v>
      </c>
      <c r="B12" s="27" t="s">
        <v>66</v>
      </c>
      <c r="C12" s="3" t="s">
        <v>67</v>
      </c>
      <c r="D12" s="28" t="str">
        <f t="shared" si="1"/>
        <v>High</v>
      </c>
      <c r="E12" s="29" t="str">
        <f t="shared" si="2"/>
        <v>Templating (Cross-Author), Submission Volume</v>
      </c>
      <c r="F12" s="28">
        <f t="shared" si="3"/>
        <v>1</v>
      </c>
      <c r="G12" s="28">
        <f t="shared" si="4"/>
        <v>1</v>
      </c>
      <c r="H12" s="28" t="str">
        <f t="array" ref="H12">INDEX('Check Detail'!D:D,MATCH($A12,'Check Detail'!$A:$A,0))</f>
        <v>N</v>
      </c>
      <c r="I12" s="28" t="str">
        <f t="array" ref="I12">INDEX('Check Detail'!F:F,MATCH($A12,'Check Detail'!$A:$A,0))</f>
        <v>N</v>
      </c>
      <c r="J12" s="28" t="str">
        <f t="array" ref="J12">INDEX('Check Detail'!H:H,MATCH($A12,'Check Detail'!$A:$A,0))</f>
        <v>N</v>
      </c>
      <c r="K12" s="28" t="str">
        <f t="array" ref="K12">INDEX('Check Detail'!J:J,MATCH($A12,'Check Detail'!$A:$A,0))</f>
        <v>Y</v>
      </c>
      <c r="L12" s="28" t="str">
        <f t="array" ref="L12">INDEX('Check Detail'!L:L,MATCH($A12,'Check Detail'!$A:$A,0))</f>
        <v>Y</v>
      </c>
      <c r="M12" s="28" t="str">
        <f t="array" ref="M12">INDEX('Check Detail'!N:N,MATCH($A12,'Check Detail'!$A:$A,0))</f>
        <v>N</v>
      </c>
      <c r="N12" s="28" t="str">
        <f t="array" ref="N12">INDEX('Check Detail'!P:P,MATCH($A12,'Check Detail'!$A:$A,0))</f>
        <v>N</v>
      </c>
      <c r="O12" s="28" t="str">
        <f t="array" ref="O12">INDEX('Check Detail'!R:R,MATCH($A12,'Check Detail'!$A:$A,0))</f>
        <v>N</v>
      </c>
      <c r="P12" s="28" t="str">
        <f t="array" ref="P12">INDEX('Check Detail'!T:T,MATCH($A12,'Check Detail'!$A:$A,0))</f>
        <v>N</v>
      </c>
      <c r="Q12" s="3">
        <f t="shared" si="5"/>
        <v>5</v>
      </c>
      <c r="R12" s="3" t="str">
        <f t="shared" si="6"/>
        <v/>
      </c>
      <c r="S12" s="3" t="str">
        <f t="shared" si="7"/>
        <v/>
      </c>
    </row>
    <row r="13" ht="15.0" customHeight="1">
      <c r="A13" s="3" t="s">
        <v>68</v>
      </c>
      <c r="B13" s="27" t="s">
        <v>69</v>
      </c>
      <c r="C13" s="3" t="s">
        <v>70</v>
      </c>
      <c r="D13" s="28" t="str">
        <f t="shared" si="1"/>
        <v>Low</v>
      </c>
      <c r="E13" s="29" t="str">
        <f t="shared" si="2"/>
        <v>No significant flags</v>
      </c>
      <c r="F13" s="28">
        <f t="shared" si="3"/>
        <v>0</v>
      </c>
      <c r="G13" s="28">
        <f t="shared" si="4"/>
        <v>1</v>
      </c>
      <c r="H13" s="28" t="str">
        <f t="array" ref="H13">INDEX('Check Detail'!D:D,MATCH($A13,'Check Detail'!$A:$A,0))</f>
        <v>N</v>
      </c>
      <c r="I13" s="28" t="str">
        <f t="array" ref="I13">INDEX('Check Detail'!F:F,MATCH($A13,'Check Detail'!$A:$A,0))</f>
        <v>N</v>
      </c>
      <c r="J13" s="28" t="str">
        <f t="array" ref="J13">INDEX('Check Detail'!H:H,MATCH($A13,'Check Detail'!$A:$A,0))</f>
        <v>N</v>
      </c>
      <c r="K13" s="28" t="str">
        <f t="array" ref="K13">INDEX('Check Detail'!J:J,MATCH($A13,'Check Detail'!$A:$A,0))</f>
        <v>N</v>
      </c>
      <c r="L13" s="28" t="str">
        <f t="array" ref="L13">INDEX('Check Detail'!L:L,MATCH($A13,'Check Detail'!$A:$A,0))</f>
        <v>N</v>
      </c>
      <c r="M13" s="28" t="str">
        <f t="array" ref="M13">INDEX('Check Detail'!N:N,MATCH($A13,'Check Detail'!$A:$A,0))</f>
        <v>Y</v>
      </c>
      <c r="N13" s="28" t="str">
        <f t="array" ref="N13">INDEX('Check Detail'!P:P,MATCH($A13,'Check Detail'!$A:$A,0))</f>
        <v>N</v>
      </c>
      <c r="O13" s="28" t="str">
        <f t="array" ref="O13">INDEX('Check Detail'!R:R,MATCH($A13,'Check Detail'!$A:$A,0))</f>
        <v>N</v>
      </c>
      <c r="P13" s="28" t="str">
        <f t="array" ref="P13">INDEX('Check Detail'!T:T,MATCH($A13,'Check Detail'!$A:$A,0))</f>
        <v>N</v>
      </c>
      <c r="Q13" s="3" t="str">
        <f t="shared" si="5"/>
        <v/>
      </c>
      <c r="R13" s="3" t="str">
        <f t="shared" si="6"/>
        <v/>
      </c>
      <c r="S13" s="3">
        <f t="shared" si="7"/>
        <v>5</v>
      </c>
    </row>
    <row r="14">
      <c r="A14" s="6"/>
      <c r="B14" s="3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6"/>
      <c r="B15" s="3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6"/>
      <c r="B16" s="3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6"/>
      <c r="B17" s="3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6"/>
      <c r="B18" s="3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6"/>
      <c r="B19" s="3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6"/>
      <c r="B20" s="3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5.75" customHeight="1">
      <c r="A21" s="6"/>
      <c r="B21" s="3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5.75" customHeight="1">
      <c r="A22" s="6"/>
      <c r="B22" s="30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5.75" customHeight="1">
      <c r="A23" s="6"/>
      <c r="B23" s="30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5.75" customHeight="1">
      <c r="A24" s="6"/>
      <c r="B24" s="30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5.75" customHeight="1">
      <c r="A25" s="6"/>
      <c r="B25" s="3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5.75" customHeight="1">
      <c r="A26" s="6"/>
      <c r="B26" s="30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5.75" customHeight="1">
      <c r="A27" s="6"/>
      <c r="B27" s="3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5.75" customHeight="1">
      <c r="A28" s="6"/>
      <c r="B28" s="3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5.75" customHeight="1">
      <c r="A29" s="6"/>
      <c r="B29" s="30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5.75" customHeight="1">
      <c r="A30" s="6"/>
      <c r="B30" s="30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5.75" customHeight="1">
      <c r="A31" s="6"/>
      <c r="B31" s="30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5.75" customHeight="1">
      <c r="A32" s="6"/>
      <c r="B32" s="30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5.75" customHeight="1">
      <c r="A33" s="6"/>
      <c r="B33" s="3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5.75" customHeight="1">
      <c r="A34" s="6"/>
      <c r="B34" s="3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5.75" customHeight="1">
      <c r="A35" s="6"/>
      <c r="B35" s="3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5.75" customHeight="1">
      <c r="A36" s="6"/>
      <c r="B36" s="3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5.75" customHeight="1">
      <c r="A37" s="6"/>
      <c r="B37" s="30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5.75" customHeight="1">
      <c r="A38" s="6"/>
      <c r="B38" s="30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5.75" customHeight="1">
      <c r="A39" s="6"/>
      <c r="B39" s="30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5.75" customHeight="1">
      <c r="A40" s="6"/>
      <c r="B40" s="3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5.75" customHeight="1">
      <c r="A41" s="6"/>
      <c r="B41" s="3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5.75" customHeight="1">
      <c r="A42" s="6"/>
      <c r="B42" s="3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5.75" customHeight="1">
      <c r="A43" s="6"/>
      <c r="B43" s="30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5.75" customHeight="1">
      <c r="A44" s="6"/>
      <c r="B44" s="30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5.75" customHeight="1">
      <c r="A45" s="6"/>
      <c r="B45" s="30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5.75" customHeight="1">
      <c r="A46" s="6"/>
      <c r="B46" s="30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5.75" customHeight="1">
      <c r="A47" s="6"/>
      <c r="B47" s="3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5.75" customHeight="1">
      <c r="A48" s="6"/>
      <c r="B48" s="3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5.75" customHeight="1">
      <c r="A49" s="6"/>
      <c r="B49" s="3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15.75" customHeight="1">
      <c r="A50" s="6"/>
      <c r="B50" s="3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15.75" customHeight="1">
      <c r="A51" s="6"/>
      <c r="B51" s="3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15.75" customHeight="1">
      <c r="A52" s="6"/>
      <c r="B52" s="3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15.75" customHeight="1">
      <c r="A53" s="6"/>
      <c r="B53" s="3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15.75" customHeight="1">
      <c r="A54" s="6"/>
      <c r="B54" s="3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15.75" customHeight="1">
      <c r="A55" s="6"/>
      <c r="B55" s="3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15.75" customHeight="1">
      <c r="A56" s="6"/>
      <c r="B56" s="3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15.75" customHeight="1">
      <c r="A57" s="6"/>
      <c r="B57" s="3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15.75" customHeight="1">
      <c r="A58" s="6"/>
      <c r="B58" s="3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15.75" customHeight="1">
      <c r="A59" s="6"/>
      <c r="B59" s="3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15.75" customHeight="1">
      <c r="A60" s="6"/>
      <c r="B60" s="3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15.75" customHeight="1">
      <c r="A61" s="6"/>
      <c r="B61" s="3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15.75" customHeight="1">
      <c r="A62" s="6"/>
      <c r="B62" s="3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15.75" customHeight="1">
      <c r="A63" s="6"/>
      <c r="B63" s="3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15.75" customHeight="1">
      <c r="A64" s="6"/>
      <c r="B64" s="3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15.75" customHeight="1">
      <c r="A65" s="6"/>
      <c r="B65" s="3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15.75" customHeight="1">
      <c r="A66" s="6"/>
      <c r="B66" s="3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15.75" customHeight="1">
      <c r="A67" s="6"/>
      <c r="B67" s="3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15.75" customHeight="1">
      <c r="A68" s="6"/>
      <c r="B68" s="3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15.75" customHeight="1">
      <c r="A69" s="6"/>
      <c r="B69" s="3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15.75" customHeight="1">
      <c r="A70" s="6"/>
      <c r="B70" s="3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15.75" customHeight="1">
      <c r="A71" s="6"/>
      <c r="B71" s="3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15.75" customHeight="1">
      <c r="A72" s="6"/>
      <c r="B72" s="3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15.75" customHeight="1">
      <c r="A73" s="6"/>
      <c r="B73" s="3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15.75" customHeight="1">
      <c r="A74" s="6"/>
      <c r="B74" s="3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15.75" customHeight="1">
      <c r="A75" s="6"/>
      <c r="B75" s="3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15.75" customHeight="1">
      <c r="A76" s="6"/>
      <c r="B76" s="3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15.75" customHeight="1">
      <c r="A77" s="6"/>
      <c r="B77" s="3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5.75" customHeight="1">
      <c r="A78" s="6"/>
      <c r="B78" s="3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15.75" customHeight="1">
      <c r="A79" s="6"/>
      <c r="B79" s="3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15.75" customHeight="1">
      <c r="A80" s="6"/>
      <c r="B80" s="3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15.75" customHeight="1">
      <c r="A81" s="6"/>
      <c r="B81" s="3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15.75" customHeight="1">
      <c r="A82" s="6"/>
      <c r="B82" s="3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15.75" customHeight="1">
      <c r="A83" s="6"/>
      <c r="B83" s="3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15.75" customHeight="1">
      <c r="A84" s="6"/>
      <c r="B84" s="3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15.75" customHeight="1">
      <c r="A85" s="6"/>
      <c r="B85" s="3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15.75" customHeight="1">
      <c r="A86" s="6"/>
      <c r="B86" s="3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15.75" customHeight="1">
      <c r="A87" s="6"/>
      <c r="B87" s="3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15.75" customHeight="1">
      <c r="A88" s="6"/>
      <c r="B88" s="3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15.75" customHeight="1">
      <c r="A89" s="6"/>
      <c r="B89" s="3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15.75" customHeight="1">
      <c r="A90" s="6"/>
      <c r="B90" s="3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15.75" customHeight="1">
      <c r="A91" s="6"/>
      <c r="B91" s="3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15.75" customHeight="1">
      <c r="A92" s="6"/>
      <c r="B92" s="3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15.75" customHeight="1">
      <c r="A93" s="6"/>
      <c r="B93" s="3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15.75" customHeight="1">
      <c r="A94" s="6"/>
      <c r="B94" s="3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15.75" customHeight="1">
      <c r="A95" s="6"/>
      <c r="B95" s="3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15.75" customHeight="1">
      <c r="A96" s="6"/>
      <c r="B96" s="3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15.75" customHeight="1">
      <c r="A97" s="6"/>
      <c r="B97" s="3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15.75" customHeight="1">
      <c r="A98" s="6"/>
      <c r="B98" s="3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15.75" customHeight="1">
      <c r="A99" s="6"/>
      <c r="B99" s="3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15.75" customHeight="1">
      <c r="A100" s="6"/>
      <c r="B100" s="3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15.75" customHeight="1">
      <c r="A101" s="6"/>
      <c r="B101" s="3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15.75" customHeight="1">
      <c r="A102" s="6"/>
      <c r="B102" s="3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15.75" customHeight="1">
      <c r="A103" s="6"/>
      <c r="B103" s="3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15.75" customHeight="1">
      <c r="A104" s="6"/>
      <c r="B104" s="3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15.75" customHeight="1">
      <c r="A105" s="6"/>
      <c r="B105" s="3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15.75" customHeight="1">
      <c r="A106" s="6"/>
      <c r="B106" s="3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15.75" customHeight="1">
      <c r="A107" s="6"/>
      <c r="B107" s="3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15.75" customHeight="1">
      <c r="A108" s="6"/>
      <c r="B108" s="3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15.75" customHeight="1">
      <c r="A109" s="6"/>
      <c r="B109" s="3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15.75" customHeight="1">
      <c r="A110" s="6"/>
      <c r="B110" s="3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15.75" customHeight="1">
      <c r="A111" s="6"/>
      <c r="B111" s="3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15.75" customHeight="1">
      <c r="A112" s="6"/>
      <c r="B112" s="3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ht="15.75" customHeight="1">
      <c r="A113" s="6"/>
      <c r="B113" s="3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ht="15.75" customHeight="1">
      <c r="A114" s="6"/>
      <c r="B114" s="3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ht="15.75" customHeight="1">
      <c r="A115" s="6"/>
      <c r="B115" s="3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ht="15.75" customHeight="1">
      <c r="A116" s="6"/>
      <c r="B116" s="3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ht="15.75" customHeight="1">
      <c r="A117" s="6"/>
      <c r="B117" s="3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ht="15.75" customHeight="1">
      <c r="A118" s="6"/>
      <c r="B118" s="3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ht="15.75" customHeight="1">
      <c r="A119" s="6"/>
      <c r="B119" s="3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ht="15.75" customHeight="1">
      <c r="A120" s="6"/>
      <c r="B120" s="3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ht="15.75" customHeight="1">
      <c r="A121" s="6"/>
      <c r="B121" s="3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t="15.75" customHeight="1">
      <c r="A122" s="6"/>
      <c r="B122" s="3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ht="15.75" customHeight="1">
      <c r="A123" s="6"/>
      <c r="B123" s="3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t="15.75" customHeight="1">
      <c r="A124" s="6"/>
      <c r="B124" s="3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t="15.75" customHeight="1">
      <c r="A125" s="6"/>
      <c r="B125" s="3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ht="15.75" customHeight="1">
      <c r="A126" s="6"/>
      <c r="B126" s="3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ht="15.75" customHeight="1">
      <c r="A127" s="6"/>
      <c r="B127" s="3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ht="15.75" customHeight="1">
      <c r="A128" s="6"/>
      <c r="B128" s="3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ht="15.75" customHeight="1">
      <c r="A129" s="6"/>
      <c r="B129" s="3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ht="15.75" customHeight="1">
      <c r="A130" s="6"/>
      <c r="B130" s="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ht="15.75" customHeight="1">
      <c r="A131" s="6"/>
      <c r="B131" s="3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ht="15.75" customHeight="1">
      <c r="A132" s="6"/>
      <c r="B132" s="3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ht="15.75" customHeight="1">
      <c r="A133" s="6"/>
      <c r="B133" s="3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ht="15.75" customHeight="1">
      <c r="A134" s="6"/>
      <c r="B134" s="3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ht="15.75" customHeight="1">
      <c r="A135" s="6"/>
      <c r="B135" s="3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ht="15.75" customHeight="1">
      <c r="A136" s="6"/>
      <c r="B136" s="3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t="15.75" customHeight="1">
      <c r="A137" s="6"/>
      <c r="B137" s="3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15.75" customHeight="1">
      <c r="A138" s="6"/>
      <c r="B138" s="3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15.75" customHeight="1">
      <c r="A139" s="6"/>
      <c r="B139" s="3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15.75" customHeight="1">
      <c r="A140" s="6"/>
      <c r="B140" s="3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15.75" customHeight="1">
      <c r="A141" s="6"/>
      <c r="B141" s="3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15.75" customHeight="1">
      <c r="A142" s="6"/>
      <c r="B142" s="3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15.75" customHeight="1">
      <c r="A143" s="6"/>
      <c r="B143" s="3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15.75" customHeight="1">
      <c r="A144" s="6"/>
      <c r="B144" s="3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15.75" customHeight="1">
      <c r="A145" s="6"/>
      <c r="B145" s="3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15.75" customHeight="1">
      <c r="A146" s="6"/>
      <c r="B146" s="3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15.75" customHeight="1">
      <c r="A147" s="6"/>
      <c r="B147" s="3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15.75" customHeight="1">
      <c r="A148" s="6"/>
      <c r="B148" s="3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15.75" customHeight="1">
      <c r="A149" s="6"/>
      <c r="B149" s="3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15.75" customHeight="1">
      <c r="A150" s="6"/>
      <c r="B150" s="3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15.75" customHeight="1">
      <c r="A151" s="6"/>
      <c r="B151" s="3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15.75" customHeight="1">
      <c r="A152" s="6"/>
      <c r="B152" s="3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5.75" customHeight="1">
      <c r="A153" s="6"/>
      <c r="B153" s="3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15.75" customHeight="1">
      <c r="A154" s="6"/>
      <c r="B154" s="3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15.75" customHeight="1">
      <c r="A155" s="6"/>
      <c r="B155" s="3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15.75" customHeight="1">
      <c r="A156" s="6"/>
      <c r="B156" s="3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15.75" customHeight="1">
      <c r="A157" s="6"/>
      <c r="B157" s="3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15.75" customHeight="1">
      <c r="A158" s="6"/>
      <c r="B158" s="3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15.75" customHeight="1">
      <c r="A159" s="6"/>
      <c r="B159" s="3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15.75" customHeight="1">
      <c r="A160" s="6"/>
      <c r="B160" s="3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15.75" customHeight="1">
      <c r="A161" s="6"/>
      <c r="B161" s="3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15.75" customHeight="1">
      <c r="A162" s="6"/>
      <c r="B162" s="3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15.75" customHeight="1">
      <c r="A163" s="6"/>
      <c r="B163" s="3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15.75" customHeight="1">
      <c r="A164" s="6"/>
      <c r="B164" s="3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15.75" customHeight="1">
      <c r="A165" s="6"/>
      <c r="B165" s="3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15.75" customHeight="1">
      <c r="A166" s="6"/>
      <c r="B166" s="3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15.75" customHeight="1">
      <c r="A167" s="6"/>
      <c r="B167" s="3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15.75" customHeight="1">
      <c r="A168" s="6"/>
      <c r="B168" s="3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15.75" customHeight="1">
      <c r="A169" s="6"/>
      <c r="B169" s="3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15.75" customHeight="1">
      <c r="A170" s="6"/>
      <c r="B170" s="3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15.75" customHeight="1">
      <c r="A171" s="6"/>
      <c r="B171" s="3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15.75" customHeight="1">
      <c r="A172" s="6"/>
      <c r="B172" s="3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15.75" customHeight="1">
      <c r="A173" s="6"/>
      <c r="B173" s="3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15.75" customHeight="1">
      <c r="A174" s="6"/>
      <c r="B174" s="3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15.75" customHeight="1">
      <c r="A175" s="6"/>
      <c r="B175" s="3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15.75" customHeight="1">
      <c r="A176" s="6"/>
      <c r="B176" s="3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15.75" customHeight="1">
      <c r="A177" s="6"/>
      <c r="B177" s="3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15.75" customHeight="1">
      <c r="A178" s="6"/>
      <c r="B178" s="3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15.75" customHeight="1">
      <c r="A179" s="6"/>
      <c r="B179" s="3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15.75" customHeight="1">
      <c r="A180" s="6"/>
      <c r="B180" s="3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15.75" customHeight="1">
      <c r="A181" s="6"/>
      <c r="B181" s="3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15.75" customHeight="1">
      <c r="A182" s="6"/>
      <c r="B182" s="3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15.75" customHeight="1">
      <c r="A183" s="6"/>
      <c r="B183" s="3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15.75" customHeight="1">
      <c r="A184" s="6"/>
      <c r="B184" s="3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15.75" customHeight="1">
      <c r="A185" s="6"/>
      <c r="B185" s="3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15.75" customHeight="1">
      <c r="A186" s="6"/>
      <c r="B186" s="3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15.75" customHeight="1">
      <c r="A187" s="6"/>
      <c r="B187" s="3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15.75" customHeight="1">
      <c r="A188" s="6"/>
      <c r="B188" s="3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15.75" customHeight="1">
      <c r="A189" s="6"/>
      <c r="B189" s="3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15.75" customHeight="1">
      <c r="A190" s="6"/>
      <c r="B190" s="3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15.75" customHeight="1">
      <c r="A191" s="6"/>
      <c r="B191" s="3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15.75" customHeight="1">
      <c r="A192" s="6"/>
      <c r="B192" s="3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15.75" customHeight="1">
      <c r="A193" s="6"/>
      <c r="B193" s="3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15.75" customHeight="1">
      <c r="A194" s="6"/>
      <c r="B194" s="3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15.75" customHeight="1">
      <c r="A195" s="6"/>
      <c r="B195" s="3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15.75" customHeight="1">
      <c r="A196" s="6"/>
      <c r="B196" s="3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15.75" customHeight="1">
      <c r="A197" s="6"/>
      <c r="B197" s="3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15.75" customHeight="1">
      <c r="A198" s="6"/>
      <c r="B198" s="3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15.75" customHeight="1">
      <c r="A199" s="6"/>
      <c r="B199" s="3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15.75" customHeight="1">
      <c r="A200" s="6"/>
      <c r="B200" s="3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15.75" customHeight="1">
      <c r="A201" s="6"/>
      <c r="B201" s="3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15.75" customHeight="1">
      <c r="A202" s="6"/>
      <c r="B202" s="3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15.75" customHeight="1">
      <c r="A203" s="6"/>
      <c r="B203" s="3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15.75" customHeight="1">
      <c r="A204" s="6"/>
      <c r="B204" s="3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15.75" customHeight="1">
      <c r="A205" s="6"/>
      <c r="B205" s="3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15.75" customHeight="1">
      <c r="A206" s="6"/>
      <c r="B206" s="3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15.75" customHeight="1">
      <c r="A207" s="6"/>
      <c r="B207" s="3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15.75" customHeight="1">
      <c r="A208" s="6"/>
      <c r="B208" s="3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15.75" customHeight="1">
      <c r="A209" s="6"/>
      <c r="B209" s="3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15.75" customHeight="1">
      <c r="A210" s="6"/>
      <c r="B210" s="3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15.75" customHeight="1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15.75" customHeight="1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15.75" customHeight="1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15.75" customHeight="1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15.75" customHeight="1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15.75" customHeight="1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15.75" customHeight="1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15.75" customHeight="1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15.75" customHeight="1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15.75" customHeight="1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15.75" customHeight="1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15.75" customHeight="1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15.75" customHeight="1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15.75" customHeight="1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15.75" customHeight="1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15.75" customHeight="1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15.75" customHeight="1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15.75" customHeight="1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15.75" customHeight="1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15.75" customHeight="1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15.75" customHeight="1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15.75" customHeight="1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15.75" customHeight="1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15.75" customHeight="1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5.75" customHeight="1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5.75" customHeight="1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5.75" customHeight="1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5.75" customHeight="1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5.75" customHeight="1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5.75" customHeight="1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5.75" customHeight="1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5.75" customHeight="1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5.75" customHeight="1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5.75" customHeight="1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5.75" customHeight="1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5.75" customHeight="1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5.75" customHeight="1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5.75" customHeight="1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5.75" customHeight="1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A519" s="6"/>
      <c r="B519" s="3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A520" s="6"/>
      <c r="B520" s="3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A521" s="6"/>
      <c r="B521" s="3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A522" s="6"/>
      <c r="B522" s="3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A523" s="6"/>
      <c r="B523" s="3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A524" s="6"/>
      <c r="B524" s="3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A525" s="6"/>
      <c r="B525" s="3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A526" s="6"/>
      <c r="B526" s="3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A527" s="6"/>
      <c r="B527" s="3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A528" s="6"/>
      <c r="B528" s="3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A529" s="6"/>
      <c r="B529" s="3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A530" s="6"/>
      <c r="B530" s="3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A531" s="6"/>
      <c r="B531" s="3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A532" s="6"/>
      <c r="B532" s="3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A533" s="6"/>
      <c r="B533" s="3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A534" s="6"/>
      <c r="B534" s="3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A535" s="6"/>
      <c r="B535" s="3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A536" s="6"/>
      <c r="B536" s="3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A537" s="6"/>
      <c r="B537" s="3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A538" s="6"/>
      <c r="B538" s="3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A539" s="6"/>
      <c r="B539" s="3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A540" s="6"/>
      <c r="B540" s="3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A541" s="6"/>
      <c r="B541" s="3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A542" s="6"/>
      <c r="B542" s="3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A543" s="6"/>
      <c r="B543" s="3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A544" s="6"/>
      <c r="B544" s="3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A545" s="6"/>
      <c r="B545" s="3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A546" s="6"/>
      <c r="B546" s="3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A547" s="6"/>
      <c r="B547" s="3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A548" s="6"/>
      <c r="B548" s="3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A549" s="6"/>
      <c r="B549" s="3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A550" s="6"/>
      <c r="B550" s="3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A551" s="6"/>
      <c r="B551" s="3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A552" s="6"/>
      <c r="B552" s="3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A553" s="6"/>
      <c r="B553" s="3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A554" s="6"/>
      <c r="B554" s="3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A555" s="6"/>
      <c r="B555" s="3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A556" s="6"/>
      <c r="B556" s="3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A557" s="6"/>
      <c r="B557" s="3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A558" s="6"/>
      <c r="B558" s="3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A559" s="6"/>
      <c r="B559" s="3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A560" s="6"/>
      <c r="B560" s="3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A561" s="6"/>
      <c r="B561" s="3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A562" s="6"/>
      <c r="B562" s="3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A563" s="6"/>
      <c r="B563" s="3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A564" s="6"/>
      <c r="B564" s="3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A565" s="6"/>
      <c r="B565" s="3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A566" s="6"/>
      <c r="B566" s="3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A567" s="6"/>
      <c r="B567" s="3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A568" s="6"/>
      <c r="B568" s="3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A569" s="6"/>
      <c r="B569" s="3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A570" s="6"/>
      <c r="B570" s="3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A571" s="6"/>
      <c r="B571" s="3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A572" s="6"/>
      <c r="B572" s="3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A573" s="6"/>
      <c r="B573" s="3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A574" s="6"/>
      <c r="B574" s="3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A575" s="6"/>
      <c r="B575" s="3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A576" s="6"/>
      <c r="B576" s="3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A577" s="6"/>
      <c r="B577" s="3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A578" s="6"/>
      <c r="B578" s="3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A579" s="6"/>
      <c r="B579" s="3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A580" s="6"/>
      <c r="B580" s="3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A581" s="6"/>
      <c r="B581" s="3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A582" s="6"/>
      <c r="B582" s="3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A583" s="6"/>
      <c r="B583" s="3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A584" s="6"/>
      <c r="B584" s="3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A585" s="6"/>
      <c r="B585" s="3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A586" s="6"/>
      <c r="B586" s="3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A587" s="6"/>
      <c r="B587" s="3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A588" s="6"/>
      <c r="B588" s="3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A589" s="6"/>
      <c r="B589" s="3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A590" s="6"/>
      <c r="B590" s="3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A591" s="6"/>
      <c r="B591" s="3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A592" s="6"/>
      <c r="B592" s="3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A593" s="6"/>
      <c r="B593" s="3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A594" s="6"/>
      <c r="B594" s="3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A595" s="6"/>
      <c r="B595" s="3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A596" s="6"/>
      <c r="B596" s="3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A597" s="6"/>
      <c r="B597" s="3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A598" s="6"/>
      <c r="B598" s="3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A599" s="6"/>
      <c r="B599" s="3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A600" s="6"/>
      <c r="B600" s="3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A601" s="6"/>
      <c r="B601" s="3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A602" s="6"/>
      <c r="B602" s="3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A603" s="6"/>
      <c r="B603" s="3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A604" s="6"/>
      <c r="B604" s="3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A605" s="6"/>
      <c r="B605" s="3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A606" s="6"/>
      <c r="B606" s="3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A607" s="6"/>
      <c r="B607" s="3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A608" s="6"/>
      <c r="B608" s="3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A609" s="6"/>
      <c r="B609" s="3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A610" s="6"/>
      <c r="B610" s="3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A611" s="6"/>
      <c r="B611" s="3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A612" s="6"/>
      <c r="B612" s="3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A613" s="6"/>
      <c r="B613" s="3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A614" s="6"/>
      <c r="B614" s="3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A615" s="6"/>
      <c r="B615" s="3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A616" s="6"/>
      <c r="B616" s="3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A617" s="6"/>
      <c r="B617" s="3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A618" s="6"/>
      <c r="B618" s="3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A619" s="6"/>
      <c r="B619" s="3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A620" s="6"/>
      <c r="B620" s="3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A621" s="6"/>
      <c r="B621" s="3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A622" s="6"/>
      <c r="B622" s="3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A623" s="6"/>
      <c r="B623" s="3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A624" s="6"/>
      <c r="B624" s="3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A625" s="6"/>
      <c r="B625" s="3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A626" s="6"/>
      <c r="B626" s="3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A627" s="6"/>
      <c r="B627" s="3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A628" s="6"/>
      <c r="B628" s="3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A629" s="6"/>
      <c r="B629" s="3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A630" s="6"/>
      <c r="B630" s="3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A631" s="6"/>
      <c r="B631" s="3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A632" s="6"/>
      <c r="B632" s="3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A633" s="6"/>
      <c r="B633" s="3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A634" s="6"/>
      <c r="B634" s="3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A635" s="6"/>
      <c r="B635" s="3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A636" s="6"/>
      <c r="B636" s="3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A637" s="6"/>
      <c r="B637" s="3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A638" s="6"/>
      <c r="B638" s="3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A639" s="6"/>
      <c r="B639" s="3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A640" s="6"/>
      <c r="B640" s="3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A641" s="6"/>
      <c r="B641" s="3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A642" s="6"/>
      <c r="B642" s="3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A643" s="6"/>
      <c r="B643" s="3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A644" s="6"/>
      <c r="B644" s="3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A645" s="6"/>
      <c r="B645" s="3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A646" s="6"/>
      <c r="B646" s="3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A647" s="6"/>
      <c r="B647" s="3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A648" s="6"/>
      <c r="B648" s="3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A649" s="6"/>
      <c r="B649" s="3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A650" s="6"/>
      <c r="B650" s="3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A651" s="6"/>
      <c r="B651" s="3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A652" s="6"/>
      <c r="B652" s="3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A653" s="6"/>
      <c r="B653" s="3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A654" s="6"/>
      <c r="B654" s="3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A655" s="6"/>
      <c r="B655" s="3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A656" s="6"/>
      <c r="B656" s="3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A657" s="6"/>
      <c r="B657" s="3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A658" s="6"/>
      <c r="B658" s="3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A659" s="6"/>
      <c r="B659" s="3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A660" s="6"/>
      <c r="B660" s="3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A661" s="6"/>
      <c r="B661" s="3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A662" s="6"/>
      <c r="B662" s="3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A663" s="6"/>
      <c r="B663" s="3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A664" s="6"/>
      <c r="B664" s="3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A665" s="6"/>
      <c r="B665" s="3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A666" s="6"/>
      <c r="B666" s="3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A667" s="6"/>
      <c r="B667" s="3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A668" s="6"/>
      <c r="B668" s="3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A669" s="6"/>
      <c r="B669" s="3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A670" s="6"/>
      <c r="B670" s="3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A671" s="6"/>
      <c r="B671" s="3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A672" s="6"/>
      <c r="B672" s="3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A673" s="6"/>
      <c r="B673" s="3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A674" s="6"/>
      <c r="B674" s="3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A675" s="6"/>
      <c r="B675" s="3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A676" s="6"/>
      <c r="B676" s="3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A677" s="6"/>
      <c r="B677" s="3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A678" s="6"/>
      <c r="B678" s="3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A679" s="6"/>
      <c r="B679" s="3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A680" s="6"/>
      <c r="B680" s="3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A681" s="6"/>
      <c r="B681" s="3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A682" s="6"/>
      <c r="B682" s="3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A683" s="6"/>
      <c r="B683" s="3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A684" s="6"/>
      <c r="B684" s="3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A685" s="6"/>
      <c r="B685" s="3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A686" s="6"/>
      <c r="B686" s="3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A687" s="6"/>
      <c r="B687" s="3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A688" s="6"/>
      <c r="B688" s="3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A689" s="6"/>
      <c r="B689" s="3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A690" s="6"/>
      <c r="B690" s="3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A691" s="6"/>
      <c r="B691" s="3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A692" s="6"/>
      <c r="B692" s="3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A693" s="6"/>
      <c r="B693" s="3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A694" s="6"/>
      <c r="B694" s="3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A695" s="6"/>
      <c r="B695" s="3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A696" s="6"/>
      <c r="B696" s="3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A697" s="6"/>
      <c r="B697" s="3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A698" s="6"/>
      <c r="B698" s="3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A699" s="6"/>
      <c r="B699" s="3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A700" s="6"/>
      <c r="B700" s="3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A701" s="6"/>
      <c r="B701" s="3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A702" s="6"/>
      <c r="B702" s="3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A703" s="6"/>
      <c r="B703" s="3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A704" s="6"/>
      <c r="B704" s="3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A705" s="6"/>
      <c r="B705" s="3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A706" s="6"/>
      <c r="B706" s="3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A707" s="6"/>
      <c r="B707" s="3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A708" s="6"/>
      <c r="B708" s="3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A709" s="6"/>
      <c r="B709" s="3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A710" s="6"/>
      <c r="B710" s="3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A711" s="6"/>
      <c r="B711" s="3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A712" s="6"/>
      <c r="B712" s="3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A713" s="6"/>
      <c r="B713" s="3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A714" s="6"/>
      <c r="B714" s="3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A715" s="6"/>
      <c r="B715" s="3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A716" s="6"/>
      <c r="B716" s="3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A717" s="6"/>
      <c r="B717" s="3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A718" s="6"/>
      <c r="B718" s="3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A719" s="6"/>
      <c r="B719" s="3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A720" s="6"/>
      <c r="B720" s="3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A721" s="6"/>
      <c r="B721" s="3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A722" s="6"/>
      <c r="B722" s="3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A723" s="6"/>
      <c r="B723" s="3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A724" s="6"/>
      <c r="B724" s="3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A725" s="6"/>
      <c r="B725" s="3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A726" s="6"/>
      <c r="B726" s="3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A727" s="6"/>
      <c r="B727" s="3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A728" s="6"/>
      <c r="B728" s="3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A729" s="6"/>
      <c r="B729" s="3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A730" s="6"/>
      <c r="B730" s="3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A731" s="6"/>
      <c r="B731" s="3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A732" s="6"/>
      <c r="B732" s="3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A733" s="6"/>
      <c r="B733" s="3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A734" s="6"/>
      <c r="B734" s="3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A735" s="6"/>
      <c r="B735" s="3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A736" s="6"/>
      <c r="B736" s="3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A737" s="6"/>
      <c r="B737" s="3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A738" s="6"/>
      <c r="B738" s="3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A739" s="6"/>
      <c r="B739" s="3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A740" s="6"/>
      <c r="B740" s="3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A741" s="6"/>
      <c r="B741" s="3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A742" s="6"/>
      <c r="B742" s="3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A743" s="6"/>
      <c r="B743" s="3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A744" s="6"/>
      <c r="B744" s="3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A745" s="6"/>
      <c r="B745" s="3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A746" s="6"/>
      <c r="B746" s="3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A747" s="6"/>
      <c r="B747" s="3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A748" s="6"/>
      <c r="B748" s="3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A749" s="6"/>
      <c r="B749" s="3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A750" s="6"/>
      <c r="B750" s="3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A751" s="6"/>
      <c r="B751" s="3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A752" s="6"/>
      <c r="B752" s="3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A753" s="6"/>
      <c r="B753" s="3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A754" s="6"/>
      <c r="B754" s="3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A755" s="6"/>
      <c r="B755" s="3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A756" s="6"/>
      <c r="B756" s="3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A757" s="6"/>
      <c r="B757" s="3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A758" s="6"/>
      <c r="B758" s="3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A759" s="6"/>
      <c r="B759" s="3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A760" s="6"/>
      <c r="B760" s="3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A761" s="6"/>
      <c r="B761" s="3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A762" s="6"/>
      <c r="B762" s="3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A763" s="6"/>
      <c r="B763" s="3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A764" s="6"/>
      <c r="B764" s="3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A765" s="6"/>
      <c r="B765" s="3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A766" s="6"/>
      <c r="B766" s="3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A767" s="6"/>
      <c r="B767" s="3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A768" s="6"/>
      <c r="B768" s="3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A769" s="6"/>
      <c r="B769" s="3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A770" s="6"/>
      <c r="B770" s="3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A771" s="6"/>
      <c r="B771" s="3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A772" s="6"/>
      <c r="B772" s="3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A773" s="6"/>
      <c r="B773" s="3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A774" s="6"/>
      <c r="B774" s="3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A775" s="6"/>
      <c r="B775" s="3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A776" s="6"/>
      <c r="B776" s="3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A777" s="6"/>
      <c r="B777" s="3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A778" s="6"/>
      <c r="B778" s="3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A779" s="6"/>
      <c r="B779" s="3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A780" s="6"/>
      <c r="B780" s="3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A781" s="6"/>
      <c r="B781" s="3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A782" s="6"/>
      <c r="B782" s="3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A783" s="6"/>
      <c r="B783" s="3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A784" s="6"/>
      <c r="B784" s="3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A785" s="6"/>
      <c r="B785" s="3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A786" s="6"/>
      <c r="B786" s="3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A787" s="6"/>
      <c r="B787" s="3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A788" s="6"/>
      <c r="B788" s="3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A789" s="6"/>
      <c r="B789" s="3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A790" s="6"/>
      <c r="B790" s="3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A791" s="6"/>
      <c r="B791" s="3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A792" s="6"/>
      <c r="B792" s="3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A793" s="6"/>
      <c r="B793" s="3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A794" s="6"/>
      <c r="B794" s="3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A795" s="6"/>
      <c r="B795" s="3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A796" s="6"/>
      <c r="B796" s="3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A797" s="6"/>
      <c r="B797" s="3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A798" s="6"/>
      <c r="B798" s="3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A799" s="6"/>
      <c r="B799" s="3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A800" s="6"/>
      <c r="B800" s="3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A801" s="6"/>
      <c r="B801" s="3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A802" s="6"/>
      <c r="B802" s="3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A803" s="6"/>
      <c r="B803" s="3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A804" s="6"/>
      <c r="B804" s="3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A805" s="6"/>
      <c r="B805" s="3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A806" s="6"/>
      <c r="B806" s="3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A807" s="6"/>
      <c r="B807" s="3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A808" s="6"/>
      <c r="B808" s="3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A809" s="6"/>
      <c r="B809" s="3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A810" s="6"/>
      <c r="B810" s="3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A811" s="6"/>
      <c r="B811" s="3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A812" s="6"/>
      <c r="B812" s="3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A813" s="6"/>
      <c r="B813" s="3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A814" s="6"/>
      <c r="B814" s="3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A815" s="6"/>
      <c r="B815" s="3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A816" s="6"/>
      <c r="B816" s="3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A817" s="6"/>
      <c r="B817" s="3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A818" s="6"/>
      <c r="B818" s="3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A819" s="6"/>
      <c r="B819" s="3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A820" s="6"/>
      <c r="B820" s="3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A821" s="6"/>
      <c r="B821" s="3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A822" s="6"/>
      <c r="B822" s="3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A823" s="6"/>
      <c r="B823" s="3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A824" s="6"/>
      <c r="B824" s="3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A825" s="6"/>
      <c r="B825" s="3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A826" s="6"/>
      <c r="B826" s="3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A827" s="6"/>
      <c r="B827" s="3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A828" s="6"/>
      <c r="B828" s="3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A829" s="6"/>
      <c r="B829" s="3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A830" s="6"/>
      <c r="B830" s="3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A831" s="6"/>
      <c r="B831" s="3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A832" s="6"/>
      <c r="B832" s="3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A833" s="6"/>
      <c r="B833" s="3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A834" s="6"/>
      <c r="B834" s="3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A835" s="6"/>
      <c r="B835" s="3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A836" s="6"/>
      <c r="B836" s="3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A837" s="6"/>
      <c r="B837" s="3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A838" s="6"/>
      <c r="B838" s="3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A839" s="6"/>
      <c r="B839" s="3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A840" s="6"/>
      <c r="B840" s="3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A841" s="6"/>
      <c r="B841" s="3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A842" s="6"/>
      <c r="B842" s="3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A843" s="6"/>
      <c r="B843" s="3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A844" s="6"/>
      <c r="B844" s="3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A845" s="6"/>
      <c r="B845" s="3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A846" s="6"/>
      <c r="B846" s="3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A847" s="6"/>
      <c r="B847" s="3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A848" s="6"/>
      <c r="B848" s="3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A849" s="6"/>
      <c r="B849" s="3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A850" s="6"/>
      <c r="B850" s="3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A851" s="6"/>
      <c r="B851" s="3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A852" s="6"/>
      <c r="B852" s="3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A853" s="6"/>
      <c r="B853" s="3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A854" s="6"/>
      <c r="B854" s="3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A855" s="6"/>
      <c r="B855" s="3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A856" s="6"/>
      <c r="B856" s="3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A857" s="6"/>
      <c r="B857" s="3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A858" s="6"/>
      <c r="B858" s="3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A859" s="6"/>
      <c r="B859" s="3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A860" s="6"/>
      <c r="B860" s="3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A861" s="6"/>
      <c r="B861" s="3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A862" s="6"/>
      <c r="B862" s="3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A863" s="6"/>
      <c r="B863" s="3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A864" s="6"/>
      <c r="B864" s="3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A865" s="6"/>
      <c r="B865" s="3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A866" s="6"/>
      <c r="B866" s="3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A867" s="6"/>
      <c r="B867" s="3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A868" s="6"/>
      <c r="B868" s="3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A869" s="6"/>
      <c r="B869" s="3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A870" s="6"/>
      <c r="B870" s="3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A871" s="6"/>
      <c r="B871" s="3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A872" s="6"/>
      <c r="B872" s="3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A873" s="6"/>
      <c r="B873" s="3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A874" s="6"/>
      <c r="B874" s="3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A875" s="6"/>
      <c r="B875" s="3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A876" s="6"/>
      <c r="B876" s="3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A877" s="6"/>
      <c r="B877" s="3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A878" s="6"/>
      <c r="B878" s="3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A879" s="6"/>
      <c r="B879" s="3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A880" s="6"/>
      <c r="B880" s="3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A881" s="6"/>
      <c r="B881" s="3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A882" s="6"/>
      <c r="B882" s="3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A883" s="6"/>
      <c r="B883" s="3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A884" s="6"/>
      <c r="B884" s="3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A885" s="6"/>
      <c r="B885" s="3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A886" s="6"/>
      <c r="B886" s="3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A887" s="6"/>
      <c r="B887" s="3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A888" s="6"/>
      <c r="B888" s="3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A889" s="6"/>
      <c r="B889" s="3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A890" s="6"/>
      <c r="B890" s="3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A891" s="6"/>
      <c r="B891" s="3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A892" s="6"/>
      <c r="B892" s="3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A893" s="6"/>
      <c r="B893" s="3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A894" s="6"/>
      <c r="B894" s="3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A895" s="6"/>
      <c r="B895" s="3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A896" s="6"/>
      <c r="B896" s="3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A897" s="6"/>
      <c r="B897" s="3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A898" s="6"/>
      <c r="B898" s="3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A899" s="6"/>
      <c r="B899" s="3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A900" s="6"/>
      <c r="B900" s="3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A901" s="6"/>
      <c r="B901" s="3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A902" s="6"/>
      <c r="B902" s="3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A903" s="6"/>
      <c r="B903" s="3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A904" s="6"/>
      <c r="B904" s="3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A905" s="6"/>
      <c r="B905" s="3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A906" s="6"/>
      <c r="B906" s="3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A907" s="6"/>
      <c r="B907" s="3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A908" s="6"/>
      <c r="B908" s="3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A909" s="6"/>
      <c r="B909" s="3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A910" s="6"/>
      <c r="B910" s="3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A911" s="6"/>
      <c r="B911" s="3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A912" s="6"/>
      <c r="B912" s="3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A913" s="6"/>
      <c r="B913" s="3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A914" s="6"/>
      <c r="B914" s="3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A915" s="6"/>
      <c r="B915" s="3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A916" s="6"/>
      <c r="B916" s="3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A917" s="6"/>
      <c r="B917" s="3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A918" s="6"/>
      <c r="B918" s="3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A919" s="6"/>
      <c r="B919" s="3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A920" s="6"/>
      <c r="B920" s="3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A921" s="6"/>
      <c r="B921" s="3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A922" s="6"/>
      <c r="B922" s="3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A923" s="6"/>
      <c r="B923" s="3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A924" s="6"/>
      <c r="B924" s="3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A925" s="6"/>
      <c r="B925" s="3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A926" s="6"/>
      <c r="B926" s="3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A927" s="6"/>
      <c r="B927" s="3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A928" s="6"/>
      <c r="B928" s="3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A929" s="6"/>
      <c r="B929" s="3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A930" s="6"/>
      <c r="B930" s="3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A931" s="6"/>
      <c r="B931" s="3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A932" s="6"/>
      <c r="B932" s="3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A933" s="6"/>
      <c r="B933" s="3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A934" s="6"/>
      <c r="B934" s="3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A935" s="6"/>
      <c r="B935" s="3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A936" s="6"/>
      <c r="B936" s="3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A937" s="6"/>
      <c r="B937" s="3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A938" s="6"/>
      <c r="B938" s="3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A939" s="6"/>
      <c r="B939" s="3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A940" s="6"/>
      <c r="B940" s="3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A941" s="6"/>
      <c r="B941" s="3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A942" s="6"/>
      <c r="B942" s="3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A943" s="6"/>
      <c r="B943" s="3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A944" s="6"/>
      <c r="B944" s="3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A945" s="6"/>
      <c r="B945" s="3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A946" s="6"/>
      <c r="B946" s="3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A947" s="6"/>
      <c r="B947" s="3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A948" s="6"/>
      <c r="B948" s="3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A949" s="6"/>
      <c r="B949" s="3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A950" s="6"/>
      <c r="B950" s="3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A951" s="6"/>
      <c r="B951" s="3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A952" s="6"/>
      <c r="B952" s="3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A953" s="6"/>
      <c r="B953" s="3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A954" s="6"/>
      <c r="B954" s="3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A955" s="6"/>
      <c r="B955" s="3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A956" s="6"/>
      <c r="B956" s="3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A957" s="6"/>
      <c r="B957" s="3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A958" s="6"/>
      <c r="B958" s="3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A959" s="6"/>
      <c r="B959" s="3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A960" s="6"/>
      <c r="B960" s="3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A961" s="6"/>
      <c r="B961" s="3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A962" s="6"/>
      <c r="B962" s="3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A963" s="6"/>
      <c r="B963" s="3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A964" s="6"/>
      <c r="B964" s="3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A965" s="6"/>
      <c r="B965" s="3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A966" s="6"/>
      <c r="B966" s="3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A967" s="6"/>
      <c r="B967" s="3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A968" s="6"/>
      <c r="B968" s="3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A969" s="6"/>
      <c r="B969" s="3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A970" s="6"/>
      <c r="B970" s="3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A971" s="6"/>
      <c r="B971" s="3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A972" s="6"/>
      <c r="B972" s="3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A973" s="6"/>
      <c r="B973" s="3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A974" s="6"/>
      <c r="B974" s="3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A975" s="6"/>
      <c r="B975" s="3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A976" s="6"/>
      <c r="B976" s="3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A977" s="6"/>
      <c r="B977" s="3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A978" s="6"/>
      <c r="B978" s="3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A979" s="6"/>
      <c r="B979" s="3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A980" s="6"/>
      <c r="B980" s="3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A981" s="6"/>
      <c r="B981" s="3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A982" s="6"/>
      <c r="B982" s="3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A983" s="6"/>
      <c r="B983" s="3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A984" s="6"/>
      <c r="B984" s="3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A985" s="6"/>
      <c r="B985" s="3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A986" s="6"/>
      <c r="B986" s="3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A987" s="6"/>
      <c r="B987" s="3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A988" s="6"/>
      <c r="B988" s="3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A989" s="6"/>
      <c r="B989" s="3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A990" s="6"/>
      <c r="B990" s="3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A991" s="6"/>
      <c r="B991" s="3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A992" s="6"/>
      <c r="B992" s="3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A993" s="6"/>
      <c r="B993" s="3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A994" s="6"/>
      <c r="B994" s="3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A995" s="6"/>
      <c r="B995" s="3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A996" s="6"/>
      <c r="B996" s="3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5.75" customHeight="1">
      <c r="A997" s="6"/>
      <c r="B997" s="3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5.75" customHeight="1">
      <c r="A998" s="6"/>
      <c r="B998" s="3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5.75" customHeight="1">
      <c r="A999" s="6"/>
      <c r="B999" s="3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5.75" customHeight="1">
      <c r="A1000" s="6"/>
      <c r="B1000" s="3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autoFilter ref="$A$1:$S$13"/>
  <conditionalFormatting sqref="D2:D13">
    <cfRule type="expression" dxfId="4" priority="1">
      <formula>$D2="High"</formula>
    </cfRule>
  </conditionalFormatting>
  <conditionalFormatting sqref="D2:D13">
    <cfRule type="expression" dxfId="5" priority="2">
      <formula>$D2="Moderate"</formula>
    </cfRule>
  </conditionalFormatting>
  <conditionalFormatting sqref="D2:D13">
    <cfRule type="expression" dxfId="6" priority="3">
      <formula>$D2="Low"</formula>
    </cfRule>
  </conditionalFormatting>
  <conditionalFormatting sqref="A2:G13">
    <cfRule type="expression" dxfId="2" priority="4">
      <formula>$D2="High"</formula>
    </cfRule>
  </conditionalFormatting>
  <conditionalFormatting sqref="A2:G13">
    <cfRule type="expression" dxfId="3" priority="5">
      <formula>$D2="Moderate"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5.0"/>
    <col customWidth="1" min="4" max="4" width="9.0"/>
    <col customWidth="1" min="5" max="5" width="34.0"/>
    <col customWidth="1" min="6" max="6" width="9.0"/>
    <col customWidth="1" min="7" max="7" width="34.0"/>
    <col customWidth="1" min="8" max="8" width="9.0"/>
    <col customWidth="1" min="9" max="9" width="34.0"/>
    <col customWidth="1" min="10" max="10" width="9.0"/>
    <col customWidth="1" min="11" max="11" width="34.0"/>
    <col customWidth="1" min="12" max="12" width="9.0"/>
    <col customWidth="1" min="13" max="13" width="34.0"/>
    <col customWidth="1" min="14" max="14" width="9.0"/>
    <col customWidth="1" min="15" max="15" width="34.0"/>
    <col customWidth="1" min="16" max="16" width="9.0"/>
    <col customWidth="1" min="17" max="17" width="34.0"/>
    <col customWidth="1" min="18" max="18" width="9.0"/>
    <col customWidth="1" min="19" max="19" width="34.0"/>
    <col customWidth="1" min="20" max="20" width="9.0"/>
    <col customWidth="1" min="21" max="21" width="34.0"/>
    <col customWidth="1" min="22" max="26" width="8.71"/>
  </cols>
  <sheetData>
    <row r="1" ht="33.75" customHeight="1">
      <c r="A1" s="31" t="s">
        <v>1</v>
      </c>
      <c r="B1" s="31" t="s">
        <v>2</v>
      </c>
      <c r="C1" s="31" t="s">
        <v>3</v>
      </c>
      <c r="D1" s="32" t="s">
        <v>71</v>
      </c>
      <c r="E1" s="32" t="s">
        <v>72</v>
      </c>
      <c r="F1" s="32" t="s">
        <v>73</v>
      </c>
      <c r="G1" s="32" t="s">
        <v>74</v>
      </c>
      <c r="H1" s="32" t="s">
        <v>75</v>
      </c>
      <c r="I1" s="32" t="s">
        <v>76</v>
      </c>
      <c r="J1" s="32" t="s">
        <v>77</v>
      </c>
      <c r="K1" s="32" t="s">
        <v>78</v>
      </c>
      <c r="L1" s="31" t="s">
        <v>79</v>
      </c>
      <c r="M1" s="31" t="s">
        <v>80</v>
      </c>
      <c r="N1" s="31" t="s">
        <v>81</v>
      </c>
      <c r="O1" s="31" t="s">
        <v>82</v>
      </c>
      <c r="P1" s="31" t="s">
        <v>83</v>
      </c>
      <c r="Q1" s="31" t="s">
        <v>84</v>
      </c>
      <c r="R1" s="31" t="s">
        <v>85</v>
      </c>
      <c r="S1" s="31" t="s">
        <v>86</v>
      </c>
      <c r="T1" s="31" t="s">
        <v>87</v>
      </c>
      <c r="U1" s="31" t="s">
        <v>88</v>
      </c>
    </row>
    <row r="2" ht="15.0" customHeight="1">
      <c r="A2" s="33" t="s">
        <v>35</v>
      </c>
      <c r="B2" s="33" t="s">
        <v>36</v>
      </c>
      <c r="C2" s="33" t="s">
        <v>37</v>
      </c>
      <c r="D2" s="34" t="s">
        <v>89</v>
      </c>
      <c r="E2" s="4"/>
      <c r="F2" s="34" t="s">
        <v>89</v>
      </c>
      <c r="G2" s="4"/>
      <c r="H2" s="34" t="s">
        <v>89</v>
      </c>
      <c r="I2" s="4"/>
      <c r="J2" s="34" t="s">
        <v>89</v>
      </c>
      <c r="K2" s="4"/>
      <c r="L2" s="34" t="s">
        <v>89</v>
      </c>
      <c r="M2" s="4"/>
      <c r="N2" s="34" t="s">
        <v>89</v>
      </c>
      <c r="O2" s="4"/>
      <c r="P2" s="34" t="s">
        <v>89</v>
      </c>
      <c r="Q2" s="4"/>
      <c r="R2" s="34" t="s">
        <v>89</v>
      </c>
      <c r="S2" s="4"/>
      <c r="T2" s="34" t="s">
        <v>89</v>
      </c>
      <c r="U2" s="4"/>
    </row>
    <row r="3" ht="23.25" customHeight="1">
      <c r="A3" s="33" t="s">
        <v>38</v>
      </c>
      <c r="B3" s="33" t="s">
        <v>39</v>
      </c>
      <c r="C3" s="33" t="s">
        <v>40</v>
      </c>
      <c r="D3" s="34" t="s">
        <v>89</v>
      </c>
      <c r="E3" s="4"/>
      <c r="F3" s="34" t="s">
        <v>89</v>
      </c>
      <c r="G3" s="4"/>
      <c r="H3" s="34" t="s">
        <v>89</v>
      </c>
      <c r="I3" s="4"/>
      <c r="J3" s="34" t="s">
        <v>89</v>
      </c>
      <c r="K3" s="4"/>
      <c r="L3" s="34" t="s">
        <v>89</v>
      </c>
      <c r="M3" s="4"/>
      <c r="N3" s="35" t="s">
        <v>90</v>
      </c>
      <c r="O3" s="4" t="s">
        <v>91</v>
      </c>
      <c r="P3" s="34" t="s">
        <v>89</v>
      </c>
      <c r="Q3" s="4"/>
      <c r="R3" s="35" t="s">
        <v>90</v>
      </c>
      <c r="S3" s="4" t="s">
        <v>92</v>
      </c>
      <c r="T3" s="34" t="s">
        <v>89</v>
      </c>
      <c r="U3" s="4"/>
    </row>
    <row r="4" ht="23.25" customHeight="1">
      <c r="A4" s="33" t="s">
        <v>41</v>
      </c>
      <c r="B4" s="33" t="s">
        <v>42</v>
      </c>
      <c r="C4" s="33" t="s">
        <v>43</v>
      </c>
      <c r="D4" s="34" t="s">
        <v>89</v>
      </c>
      <c r="E4" s="4"/>
      <c r="F4" s="35" t="s">
        <v>90</v>
      </c>
      <c r="G4" s="4" t="s">
        <v>93</v>
      </c>
      <c r="H4" s="34" t="s">
        <v>89</v>
      </c>
      <c r="I4" s="4"/>
      <c r="J4" s="34" t="s">
        <v>89</v>
      </c>
      <c r="K4" s="4"/>
      <c r="L4" s="34" t="s">
        <v>89</v>
      </c>
      <c r="M4" s="4"/>
      <c r="N4" s="34" t="s">
        <v>89</v>
      </c>
      <c r="O4" s="4"/>
      <c r="P4" s="34" t="s">
        <v>89</v>
      </c>
      <c r="Q4" s="4"/>
      <c r="R4" s="34" t="s">
        <v>89</v>
      </c>
      <c r="S4" s="4"/>
      <c r="T4" s="34" t="s">
        <v>89</v>
      </c>
      <c r="U4" s="4"/>
    </row>
    <row r="5" ht="15.0" customHeight="1">
      <c r="A5" s="33" t="s">
        <v>44</v>
      </c>
      <c r="B5" s="33" t="s">
        <v>45</v>
      </c>
      <c r="C5" s="33" t="s">
        <v>46</v>
      </c>
      <c r="D5" s="34" t="s">
        <v>89</v>
      </c>
      <c r="E5" s="4"/>
      <c r="F5" s="34" t="s">
        <v>89</v>
      </c>
      <c r="G5" s="4"/>
      <c r="H5" s="34" t="s">
        <v>89</v>
      </c>
      <c r="I5" s="4"/>
      <c r="J5" s="34" t="s">
        <v>89</v>
      </c>
      <c r="K5" s="4"/>
      <c r="L5" s="34" t="s">
        <v>89</v>
      </c>
      <c r="M5" s="4"/>
      <c r="N5" s="34" t="s">
        <v>89</v>
      </c>
      <c r="O5" s="4"/>
      <c r="P5" s="34" t="s">
        <v>89</v>
      </c>
      <c r="Q5" s="4"/>
      <c r="R5" s="34" t="s">
        <v>89</v>
      </c>
      <c r="S5" s="4"/>
      <c r="T5" s="34" t="s">
        <v>89</v>
      </c>
      <c r="U5" s="4"/>
    </row>
    <row r="6" ht="23.25" customHeight="1">
      <c r="A6" s="33" t="s">
        <v>47</v>
      </c>
      <c r="B6" s="33" t="s">
        <v>48</v>
      </c>
      <c r="C6" s="33" t="s">
        <v>49</v>
      </c>
      <c r="D6" s="34" t="s">
        <v>89</v>
      </c>
      <c r="E6" s="4"/>
      <c r="F6" s="34" t="s">
        <v>89</v>
      </c>
      <c r="G6" s="4"/>
      <c r="H6" s="35" t="s">
        <v>90</v>
      </c>
      <c r="I6" s="4" t="s">
        <v>94</v>
      </c>
      <c r="J6" s="34" t="s">
        <v>89</v>
      </c>
      <c r="K6" s="4"/>
      <c r="L6" s="34" t="s">
        <v>89</v>
      </c>
      <c r="M6" s="4"/>
      <c r="N6" s="34" t="s">
        <v>89</v>
      </c>
      <c r="O6" s="4"/>
      <c r="P6" s="34" t="s">
        <v>89</v>
      </c>
      <c r="Q6" s="4"/>
      <c r="R6" s="34" t="s">
        <v>89</v>
      </c>
      <c r="S6" s="4"/>
      <c r="T6" s="34" t="s">
        <v>89</v>
      </c>
      <c r="U6" s="4"/>
    </row>
    <row r="7" ht="23.25" customHeight="1">
      <c r="A7" s="33" t="s">
        <v>50</v>
      </c>
      <c r="B7" s="33" t="s">
        <v>51</v>
      </c>
      <c r="C7" s="33" t="s">
        <v>52</v>
      </c>
      <c r="D7" s="34" t="s">
        <v>89</v>
      </c>
      <c r="E7" s="4"/>
      <c r="F7" s="34" t="s">
        <v>89</v>
      </c>
      <c r="G7" s="4"/>
      <c r="H7" s="34" t="s">
        <v>89</v>
      </c>
      <c r="I7" s="4"/>
      <c r="J7" s="34" t="s">
        <v>89</v>
      </c>
      <c r="K7" s="4"/>
      <c r="L7" s="35" t="s">
        <v>90</v>
      </c>
      <c r="M7" s="4" t="s">
        <v>95</v>
      </c>
      <c r="N7" s="34" t="s">
        <v>89</v>
      </c>
      <c r="O7" s="4"/>
      <c r="P7" s="34" t="s">
        <v>89</v>
      </c>
      <c r="Q7" s="4"/>
      <c r="R7" s="34" t="s">
        <v>89</v>
      </c>
      <c r="S7" s="4"/>
      <c r="T7" s="34" t="s">
        <v>89</v>
      </c>
      <c r="U7" s="4"/>
    </row>
    <row r="8" ht="23.25" customHeight="1">
      <c r="A8" s="33" t="s">
        <v>53</v>
      </c>
      <c r="B8" s="33" t="s">
        <v>54</v>
      </c>
      <c r="C8" s="33" t="s">
        <v>55</v>
      </c>
      <c r="D8" s="34" t="s">
        <v>89</v>
      </c>
      <c r="E8" s="4"/>
      <c r="F8" s="34" t="s">
        <v>89</v>
      </c>
      <c r="G8" s="4"/>
      <c r="H8" s="34" t="s">
        <v>89</v>
      </c>
      <c r="I8" s="4"/>
      <c r="J8" s="34" t="s">
        <v>89</v>
      </c>
      <c r="K8" s="4"/>
      <c r="L8" s="34" t="s">
        <v>89</v>
      </c>
      <c r="M8" s="4"/>
      <c r="N8" s="34" t="s">
        <v>89</v>
      </c>
      <c r="O8" s="4"/>
      <c r="P8" s="35" t="s">
        <v>90</v>
      </c>
      <c r="Q8" s="4" t="s">
        <v>96</v>
      </c>
      <c r="R8" s="34" t="s">
        <v>89</v>
      </c>
      <c r="S8" s="4"/>
      <c r="T8" s="35" t="s">
        <v>90</v>
      </c>
      <c r="U8" s="4" t="s">
        <v>97</v>
      </c>
    </row>
    <row r="9" ht="15.0" customHeight="1">
      <c r="A9" s="33" t="s">
        <v>56</v>
      </c>
      <c r="B9" s="33" t="s">
        <v>57</v>
      </c>
      <c r="C9" s="33" t="s">
        <v>58</v>
      </c>
      <c r="D9" s="34" t="s">
        <v>89</v>
      </c>
      <c r="E9" s="4"/>
      <c r="F9" s="34" t="s">
        <v>89</v>
      </c>
      <c r="G9" s="4"/>
      <c r="H9" s="34" t="s">
        <v>89</v>
      </c>
      <c r="I9" s="4"/>
      <c r="J9" s="34" t="s">
        <v>89</v>
      </c>
      <c r="K9" s="4"/>
      <c r="L9" s="34" t="s">
        <v>89</v>
      </c>
      <c r="M9" s="4"/>
      <c r="N9" s="34" t="s">
        <v>89</v>
      </c>
      <c r="O9" s="4"/>
      <c r="P9" s="34" t="s">
        <v>89</v>
      </c>
      <c r="Q9" s="4"/>
      <c r="R9" s="34" t="s">
        <v>89</v>
      </c>
      <c r="S9" s="4"/>
      <c r="T9" s="34" t="s">
        <v>89</v>
      </c>
      <c r="U9" s="4"/>
    </row>
    <row r="10" ht="23.25" customHeight="1">
      <c r="A10" s="33" t="s">
        <v>59</v>
      </c>
      <c r="B10" s="33" t="s">
        <v>60</v>
      </c>
      <c r="C10" s="33" t="s">
        <v>61</v>
      </c>
      <c r="D10" s="35" t="s">
        <v>90</v>
      </c>
      <c r="E10" s="4" t="s">
        <v>98</v>
      </c>
      <c r="F10" s="34" t="s">
        <v>89</v>
      </c>
      <c r="G10" s="4"/>
      <c r="H10" s="34" t="s">
        <v>89</v>
      </c>
      <c r="I10" s="4"/>
      <c r="J10" s="34" t="s">
        <v>89</v>
      </c>
      <c r="K10" s="4"/>
      <c r="L10" s="34" t="s">
        <v>89</v>
      </c>
      <c r="M10" s="4"/>
      <c r="N10" s="34" t="s">
        <v>89</v>
      </c>
      <c r="O10" s="4"/>
      <c r="P10" s="34" t="s">
        <v>89</v>
      </c>
      <c r="Q10" s="4"/>
      <c r="R10" s="34" t="s">
        <v>89</v>
      </c>
      <c r="S10" s="4"/>
      <c r="T10" s="34" t="s">
        <v>89</v>
      </c>
      <c r="U10" s="4"/>
    </row>
    <row r="11" ht="23.25" customHeight="1">
      <c r="A11" s="33" t="s">
        <v>62</v>
      </c>
      <c r="B11" s="33" t="s">
        <v>63</v>
      </c>
      <c r="C11" s="33" t="s">
        <v>64</v>
      </c>
      <c r="D11" s="34" t="s">
        <v>89</v>
      </c>
      <c r="E11" s="4"/>
      <c r="F11" s="34" t="s">
        <v>89</v>
      </c>
      <c r="G11" s="4"/>
      <c r="H11" s="34" t="s">
        <v>89</v>
      </c>
      <c r="I11" s="4"/>
      <c r="J11" s="35" t="s">
        <v>90</v>
      </c>
      <c r="K11" s="4" t="s">
        <v>99</v>
      </c>
      <c r="L11" s="34" t="s">
        <v>89</v>
      </c>
      <c r="M11" s="4"/>
      <c r="N11" s="34" t="s">
        <v>89</v>
      </c>
      <c r="O11" s="4"/>
      <c r="P11" s="34" t="s">
        <v>89</v>
      </c>
      <c r="Q11" s="4"/>
      <c r="R11" s="34" t="s">
        <v>89</v>
      </c>
      <c r="S11" s="4"/>
      <c r="T11" s="34" t="s">
        <v>89</v>
      </c>
      <c r="U11" s="4"/>
    </row>
    <row r="12" ht="23.25" customHeight="1">
      <c r="A12" s="33" t="s">
        <v>65</v>
      </c>
      <c r="B12" s="33" t="s">
        <v>66</v>
      </c>
      <c r="C12" s="33" t="s">
        <v>67</v>
      </c>
      <c r="D12" s="34" t="s">
        <v>89</v>
      </c>
      <c r="E12" s="4"/>
      <c r="F12" s="34" t="s">
        <v>89</v>
      </c>
      <c r="G12" s="4"/>
      <c r="H12" s="34" t="s">
        <v>89</v>
      </c>
      <c r="I12" s="4"/>
      <c r="J12" s="35" t="s">
        <v>90</v>
      </c>
      <c r="K12" s="4" t="s">
        <v>100</v>
      </c>
      <c r="L12" s="35" t="s">
        <v>90</v>
      </c>
      <c r="M12" s="4" t="s">
        <v>101</v>
      </c>
      <c r="N12" s="34" t="s">
        <v>89</v>
      </c>
      <c r="O12" s="4"/>
      <c r="P12" s="34" t="s">
        <v>89</v>
      </c>
      <c r="Q12" s="4"/>
      <c r="R12" s="34" t="s">
        <v>89</v>
      </c>
      <c r="S12" s="4"/>
      <c r="T12" s="34" t="s">
        <v>89</v>
      </c>
      <c r="U12" s="4"/>
    </row>
    <row r="13" ht="23.25" customHeight="1">
      <c r="A13" s="33" t="s">
        <v>68</v>
      </c>
      <c r="B13" s="33" t="s">
        <v>69</v>
      </c>
      <c r="C13" s="33" t="s">
        <v>70</v>
      </c>
      <c r="D13" s="34" t="s">
        <v>89</v>
      </c>
      <c r="E13" s="4"/>
      <c r="F13" s="34" t="s">
        <v>89</v>
      </c>
      <c r="G13" s="4"/>
      <c r="H13" s="34" t="s">
        <v>89</v>
      </c>
      <c r="I13" s="4"/>
      <c r="J13" s="34" t="s">
        <v>89</v>
      </c>
      <c r="K13" s="4"/>
      <c r="L13" s="34" t="s">
        <v>89</v>
      </c>
      <c r="M13" s="4"/>
      <c r="N13" s="35" t="s">
        <v>90</v>
      </c>
      <c r="O13" s="4" t="s">
        <v>102</v>
      </c>
      <c r="P13" s="34" t="s">
        <v>89</v>
      </c>
      <c r="Q13" s="4"/>
      <c r="R13" s="34" t="s">
        <v>89</v>
      </c>
      <c r="S13" s="4"/>
      <c r="T13" s="34" t="s">
        <v>89</v>
      </c>
      <c r="U13" s="4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autoFilter ref="$A$1:$U$13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6" width="16.0"/>
    <col customWidth="1" min="7" max="26" width="8.71"/>
  </cols>
  <sheetData>
    <row r="1" ht="17.25" customHeight="1">
      <c r="A1" s="5" t="s">
        <v>103</v>
      </c>
      <c r="B1" s="6"/>
      <c r="C1" s="6"/>
      <c r="D1" s="6"/>
      <c r="E1" s="6"/>
      <c r="F1" s="6"/>
    </row>
    <row r="2">
      <c r="A2" s="6"/>
      <c r="B2" s="6"/>
      <c r="C2" s="6"/>
      <c r="D2" s="6"/>
      <c r="E2" s="6"/>
      <c r="F2" s="6"/>
    </row>
    <row r="3" ht="15.0" customHeight="1">
      <c r="A3" s="36" t="s">
        <v>104</v>
      </c>
    </row>
    <row r="4" ht="15.0" customHeight="1">
      <c r="A4" s="37" t="s">
        <v>105</v>
      </c>
      <c r="B4" s="6"/>
      <c r="C4" s="6"/>
      <c r="D4" s="6"/>
      <c r="E4" s="6"/>
      <c r="F4" s="6"/>
    </row>
    <row r="5" ht="15.0" customHeight="1">
      <c r="A5" s="6"/>
    </row>
    <row r="6" ht="15.0" customHeight="1">
      <c r="A6" s="21" t="s">
        <v>106</v>
      </c>
    </row>
    <row r="7" ht="15.0" customHeight="1">
      <c r="A7" s="21" t="s">
        <v>107</v>
      </c>
    </row>
    <row r="8" ht="15.0" customHeight="1">
      <c r="A8" s="21" t="s">
        <v>108</v>
      </c>
      <c r="B8" s="6"/>
      <c r="C8" s="6"/>
      <c r="D8" s="6"/>
      <c r="E8" s="6"/>
      <c r="F8" s="6"/>
    </row>
    <row r="9" ht="15.0" customHeight="1">
      <c r="A9" s="6"/>
    </row>
    <row r="10" ht="15.0" customHeight="1">
      <c r="A10" s="37" t="s">
        <v>109</v>
      </c>
      <c r="B10" s="6"/>
      <c r="C10" s="6"/>
      <c r="D10" s="6"/>
      <c r="E10" s="6"/>
      <c r="F10" s="6"/>
    </row>
    <row r="11" ht="15.0" customHeight="1">
      <c r="A11" s="6"/>
    </row>
    <row r="12" ht="15.0" customHeight="1">
      <c r="A12" s="21" t="s">
        <v>110</v>
      </c>
    </row>
    <row r="13" ht="15.0" customHeight="1">
      <c r="A13" s="21" t="s">
        <v>111</v>
      </c>
    </row>
    <row r="14" ht="15.0" customHeight="1">
      <c r="A14" s="21" t="s">
        <v>112</v>
      </c>
    </row>
    <row r="15" ht="15.0" customHeight="1">
      <c r="A15" s="21" t="s">
        <v>113</v>
      </c>
      <c r="B15" s="6"/>
      <c r="C15" s="6"/>
      <c r="D15" s="6"/>
      <c r="E15" s="6"/>
      <c r="F15" s="6"/>
    </row>
    <row r="16" ht="15.0" customHeight="1">
      <c r="A16" s="6"/>
    </row>
    <row r="17" ht="15.0" customHeight="1">
      <c r="A17" s="37" t="s">
        <v>114</v>
      </c>
      <c r="B17" s="6"/>
      <c r="C17" s="6"/>
      <c r="D17" s="6"/>
      <c r="E17" s="6"/>
      <c r="F17" s="6"/>
    </row>
    <row r="18" ht="15.0" customHeight="1">
      <c r="A18" s="6"/>
      <c r="B18" s="6"/>
    </row>
    <row r="19" ht="15.0" customHeight="1">
      <c r="A19" s="16" t="s">
        <v>23</v>
      </c>
      <c r="B19" s="21" t="s">
        <v>115</v>
      </c>
    </row>
    <row r="20" ht="15.0" customHeight="1">
      <c r="A20" s="16" t="s">
        <v>24</v>
      </c>
      <c r="B20" s="21" t="s">
        <v>116</v>
      </c>
    </row>
    <row r="21" ht="15.0" customHeight="1">
      <c r="A21" s="16" t="s">
        <v>25</v>
      </c>
      <c r="B21" s="21" t="s">
        <v>117</v>
      </c>
    </row>
    <row r="22" ht="15.0" customHeight="1">
      <c r="A22" s="16" t="s">
        <v>26</v>
      </c>
      <c r="B22" s="21" t="s">
        <v>118</v>
      </c>
      <c r="C22" s="6"/>
      <c r="D22" s="6"/>
      <c r="E22" s="6"/>
      <c r="F22" s="6"/>
    </row>
    <row r="23" ht="15.0" customHeight="1">
      <c r="A23" s="6"/>
    </row>
    <row r="24" ht="15.0" customHeight="1">
      <c r="A24" s="37" t="s">
        <v>119</v>
      </c>
      <c r="B24" s="6"/>
      <c r="C24" s="6"/>
      <c r="D24" s="6"/>
      <c r="E24" s="6"/>
      <c r="F24" s="6"/>
    </row>
    <row r="25" ht="15.0" customHeight="1">
      <c r="A25" s="6"/>
      <c r="B25" s="6"/>
    </row>
    <row r="26" ht="15.0" customHeight="1">
      <c r="A26" s="16" t="s">
        <v>27</v>
      </c>
      <c r="B26" s="21" t="s">
        <v>120</v>
      </c>
    </row>
    <row r="27" ht="15.0" customHeight="1">
      <c r="A27" s="16" t="s">
        <v>28</v>
      </c>
      <c r="B27" s="21" t="s">
        <v>121</v>
      </c>
    </row>
    <row r="28" ht="15.0" customHeight="1">
      <c r="A28" s="16" t="s">
        <v>29</v>
      </c>
      <c r="B28" s="21" t="s">
        <v>122</v>
      </c>
    </row>
    <row r="29" ht="15.0" customHeight="1">
      <c r="A29" s="16" t="s">
        <v>30</v>
      </c>
      <c r="B29" s="21" t="s">
        <v>123</v>
      </c>
    </row>
    <row r="30" ht="15.0" customHeight="1">
      <c r="A30" s="16" t="s">
        <v>31</v>
      </c>
    </row>
    <row r="31" ht="15.0" customHeight="1">
      <c r="A31" s="19" t="s">
        <v>124</v>
      </c>
      <c r="B31" s="6"/>
      <c r="C31" s="6"/>
      <c r="D31" s="6"/>
      <c r="E31" s="6"/>
      <c r="F31" s="6"/>
    </row>
    <row r="32" ht="15.0" customHeight="1">
      <c r="A32" s="6"/>
    </row>
    <row r="33" ht="15.0" customHeight="1">
      <c r="A33" s="37" t="s">
        <v>125</v>
      </c>
      <c r="B33" s="6"/>
      <c r="C33" s="6"/>
      <c r="D33" s="6"/>
      <c r="E33" s="6"/>
      <c r="F33" s="6"/>
    </row>
    <row r="34" ht="15.0" customHeight="1">
      <c r="A34" s="6"/>
      <c r="B34" s="6"/>
    </row>
    <row r="35" ht="15.0" customHeight="1">
      <c r="A35" s="38" t="s">
        <v>18</v>
      </c>
      <c r="B35" s="21" t="s">
        <v>126</v>
      </c>
    </row>
    <row r="36" ht="15.0" customHeight="1">
      <c r="A36" s="39" t="s">
        <v>19</v>
      </c>
      <c r="B36" s="21" t="s">
        <v>127</v>
      </c>
    </row>
    <row r="37" ht="15.0" customHeight="1">
      <c r="A37" s="40" t="s">
        <v>20</v>
      </c>
      <c r="B37" s="21" t="s">
        <v>128</v>
      </c>
      <c r="C37" s="6"/>
      <c r="D37" s="6"/>
      <c r="E37" s="6"/>
      <c r="F37" s="6"/>
    </row>
    <row r="38" ht="15.0" customHeight="1">
      <c r="A38" s="6"/>
    </row>
    <row r="39" ht="15.0" customHeight="1">
      <c r="A39" s="37" t="s">
        <v>129</v>
      </c>
      <c r="B39" s="6"/>
      <c r="C39" s="6"/>
      <c r="D39" s="6"/>
      <c r="E39" s="6"/>
      <c r="F39" s="6"/>
    </row>
    <row r="40" ht="15.0" customHeight="1">
      <c r="A40" s="6"/>
    </row>
    <row r="41" ht="15.0" customHeight="1">
      <c r="A41" s="21" t="s">
        <v>130</v>
      </c>
    </row>
    <row r="42" ht="15.0" customHeight="1">
      <c r="A42" s="21" t="s">
        <v>131</v>
      </c>
    </row>
    <row r="43" ht="15.0" customHeight="1">
      <c r="A43" s="21" t="s">
        <v>132</v>
      </c>
    </row>
    <row r="44" ht="15.0" customHeight="1">
      <c r="A44" s="21" t="s">
        <v>133</v>
      </c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mergeCells count="30">
    <mergeCell ref="A3:F3"/>
    <mergeCell ref="A5:F5"/>
    <mergeCell ref="A6:F6"/>
    <mergeCell ref="A7:F7"/>
    <mergeCell ref="A9:F9"/>
    <mergeCell ref="A11:F11"/>
    <mergeCell ref="A12:F12"/>
    <mergeCell ref="A13:F13"/>
    <mergeCell ref="A14:F14"/>
    <mergeCell ref="A16:F16"/>
    <mergeCell ref="B18:F18"/>
    <mergeCell ref="B19:F19"/>
    <mergeCell ref="B20:F20"/>
    <mergeCell ref="B21:F21"/>
    <mergeCell ref="A23:F23"/>
    <mergeCell ref="B25:F25"/>
    <mergeCell ref="B26:F26"/>
    <mergeCell ref="B27:F27"/>
    <mergeCell ref="B28:F28"/>
    <mergeCell ref="B29:F29"/>
    <mergeCell ref="A30:F30"/>
    <mergeCell ref="A42:F42"/>
    <mergeCell ref="A43:F43"/>
    <mergeCell ref="A32:F32"/>
    <mergeCell ref="B34:F34"/>
    <mergeCell ref="B35:F35"/>
    <mergeCell ref="B36:F36"/>
    <mergeCell ref="A38:F38"/>
    <mergeCell ref="A40:F40"/>
    <mergeCell ref="A41:F4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2026-07-20T08:55:47Z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